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Vendor Master" sheetId="3" state="visible" r:id="rId5"/>
    <sheet name="Invoice &amp; Delivery Log" sheetId="4" state="visible" r:id="rId6"/>
    <sheet name="Payments Log" sheetId="5" state="visible" r:id="rId7"/>
    <sheet name="Payment Planner" sheetId="6" state="visible" r:id="rId8"/>
    <sheet name="Data Quality &amp; Reconciliation" sheetId="7" state="visible" r:id="rId9"/>
    <sheet name="Settings" sheetId="8" state="visible" r:id="rId10"/>
  </sheets>
  <definedNames>
    <definedName function="false" hidden="false" localSheetId="3" name="_xlnm.Print_Titles" vbProcedure="false">'Invoice &amp; Delivery Log'!$1:$7</definedName>
    <definedName function="false" hidden="true" localSheetId="3" name="_xlnm._FilterDatabase" vbProcedure="false">'Invoice &amp; Delivery Log'!$A$7:$X$157</definedName>
    <definedName function="false" hidden="false" localSheetId="5" name="_xlnm.Print_Titles" vbProcedure="false">'Payment Planner'!$1:$7</definedName>
    <definedName function="false" hidden="true" localSheetId="5" name="_xlnm._FilterDatabase" vbProcedure="false">'Payment Planner'!$A$7:$L$157</definedName>
    <definedName function="false" hidden="false" localSheetId="4" name="_xlnm.Print_Titles" vbProcedure="false">'Payments Log'!$1:$7</definedName>
    <definedName function="false" hidden="true" localSheetId="4" name="_xlnm._FilterDatabase" vbProcedure="false">'Payments Log'!$A$7:$R$207</definedName>
    <definedName function="false" hidden="false" localSheetId="2" name="_xlnm.Print_Titles" vbProcedure="false">'Vendor Master'!$1:$7</definedName>
    <definedName function="false" hidden="true" localSheetId="2" name="_xlnm._FilterDatabase" vbProcedure="false">'Vendor Master'!$A$7:$R$47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<sst xmlns="http://schemas.openxmlformats.org/spreadsheetml/2006/main" count="1119" uniqueCount="722">
  <si>
    <t xml:space="preserve">VendorFlow — Supplier Invoice, Payment &amp; Performance System</t>
  </si>
  <si>
    <t xml:space="preserve">An Excel control system for recording supplier deliveries and invoices, tracking full and partial payments, and monitoring vendor performance.</t>
  </si>
  <si>
    <t xml:space="preserve">PURPOSE</t>
  </si>
  <si>
    <t xml:space="preserve">VendorFlow replaces scattered spreadsheets and paper files with one controlled workbook.</t>
  </si>
  <si>
    <t xml:space="preserve">Employees record vendors, deliveries, invoices and payments. The workbook calculates balances,</t>
  </si>
  <si>
    <t xml:space="preserve">due dates, overdue amounts, aging and supplier performance automatically, checks the data for</t>
  </si>
  <si>
    <t xml:space="preserve">errors, prioritises upcoming payments, and reports everything on a management dashboard.</t>
  </si>
  <si>
    <t xml:space="preserve">SHEET MAP</t>
  </si>
  <si>
    <t xml:space="preserve">Sheet</t>
  </si>
  <si>
    <t xml:space="preserve">Who uses it</t>
  </si>
  <si>
    <t xml:space="preserve">What it does</t>
  </si>
  <si>
    <t xml:space="preserve">Dashboard</t>
  </si>
  <si>
    <t xml:space="preserve">Read only</t>
  </si>
  <si>
    <t xml:space="preserve">Management view: KPIs, aging, top vendors, monthly trend, charts.</t>
  </si>
  <si>
    <t xml:space="preserve">Vendor Master</t>
  </si>
  <si>
    <t xml:space="preserve">Enter vendors</t>
  </si>
  <si>
    <t xml:space="preserve">One row per supplier. Payment terms and contacts live here.</t>
  </si>
  <si>
    <t xml:space="preserve">Invoice &amp; Delivery Log</t>
  </si>
  <si>
    <t xml:space="preserve">Enter invoices</t>
  </si>
  <si>
    <t xml:space="preserve">One row per supplier invoice / delivery. The core table.</t>
  </si>
  <si>
    <t xml:space="preserve">Payments Log</t>
  </si>
  <si>
    <t xml:space="preserve">Enter payments</t>
  </si>
  <si>
    <t xml:space="preserve">One row per payment. Several rows may point at one invoice.</t>
  </si>
  <si>
    <t xml:space="preserve">Payment Planner</t>
  </si>
  <si>
    <t xml:space="preserve">Plan payments</t>
  </si>
  <si>
    <t xml:space="preserve">Open invoices ranked by urgency, plus cash-requirement summary.</t>
  </si>
  <si>
    <t xml:space="preserve">Data Quality &amp; Reconciliation</t>
  </si>
  <si>
    <t xml:space="preserve">Read + act</t>
  </si>
  <si>
    <t xml:space="preserve">Control totals that must tie, and a list of data exceptions.</t>
  </si>
  <si>
    <t xml:space="preserve">Settings</t>
  </si>
  <si>
    <t xml:space="preserve">Admin only</t>
  </si>
  <si>
    <t xml:space="preserve">Reporting date, aging bands, scoring weights and dropdown lists.</t>
  </si>
  <si>
    <t xml:space="preserve">COLOUR LEGEND</t>
  </si>
  <si>
    <t xml:space="preserve">Input cell</t>
  </si>
  <si>
    <t xml:space="preserve">Type here. Blue text on a light yellow background.</t>
  </si>
  <si>
    <t xml:space="preserve">Calculated cell</t>
  </si>
  <si>
    <t xml:space="preserve">Do not type here — a formula fills it in.</t>
  </si>
  <si>
    <t xml:space="preserve">Linked value</t>
  </si>
  <si>
    <t xml:space="preserve">Green text: pulled automatically from another sheet.</t>
  </si>
  <si>
    <t xml:space="preserve">Completed / OK</t>
  </si>
  <si>
    <t xml:space="preserve">Invoice fully paid, or a check that passed.</t>
  </si>
  <si>
    <t xml:space="preserve">Warning</t>
  </si>
  <si>
    <t xml:space="preserve">Partly paid, due soon, or something to review.</t>
  </si>
  <si>
    <t xml:space="preserve">Overdue / Error</t>
  </si>
  <si>
    <t xml:space="preserve">Past the due date, or a data error to fix.</t>
  </si>
  <si>
    <t xml:space="preserve">Closed / inactive</t>
  </si>
  <si>
    <t xml:space="preserve">No action needed.</t>
  </si>
  <si>
    <t xml:space="preserve">DAILY WORKFLOW</t>
  </si>
  <si>
    <t xml:space="preserve">1.  New supplier?  Add a row on Vendor Master and give it the next free Vendor ID.</t>
  </si>
  <si>
    <t xml:space="preserve">2.  Goods arrive?  Add a row on Invoice &amp; Delivery Log: Invoice ID, Vendor ID, dates, amount.</t>
  </si>
  <si>
    <t xml:space="preserve">3.  Money leaves?  Add a row on Payments Log and pick the Invoice ID it settles.</t>
  </si>
  <si>
    <t xml:space="preserve">4.  Every morning: open Data Quality &amp; Reconciliation. Every control must read PASS.</t>
  </si>
  <si>
    <t xml:space="preserve">5.  Weekly: open Payment Planner, work down the ranked list, enter planned dates and amounts.</t>
  </si>
  <si>
    <t xml:space="preserve">6.  Managers: read the Dashboard. It refreshes itself from the three logs.</t>
  </si>
  <si>
    <t xml:space="preserve">RULES THAT KEEP THE FILE RELIABLE</t>
  </si>
  <si>
    <t xml:space="preserve">•  Never delete or overwrite a calculated column — copy the formula down instead.</t>
  </si>
  <si>
    <t xml:space="preserve">•  Invoice ID and Payment ID must be unique. Payments must quote an Invoice ID that exists.</t>
  </si>
  <si>
    <t xml:space="preserve">•  Record part payments as separate rows. Never edit the invoice amount to show a part payment.</t>
  </si>
  <si>
    <t xml:space="preserve">•  Settings!C5 (Reporting Date) drives every overdue and aging calculation. Update it, or replace</t>
  </si>
  <si>
    <t xml:space="preserve">    it with =TODAY() if you want the workbook to follow the calendar automatically.</t>
  </si>
  <si>
    <t xml:space="preserve">•  Formula rows are prepared down to row 157 (invoices) and 207 (payments). To extend, select the</t>
  </si>
  <si>
    <t xml:space="preserve">    last formula row and drag it down.</t>
  </si>
  <si>
    <t xml:space="preserve">ABOUT THE SAMPLE DATA</t>
  </si>
  <si>
    <t xml:space="preserve">12 vendors, 60 invoices and 63 payments. All names, amounts and references are fictional.</t>
  </si>
  <si>
    <t xml:space="preserve">Six errors were planted on purpose so the Data Quality sheet has something to find:</t>
  </si>
  <si>
    <t xml:space="preserve">   •  Duplicate supplier invoice number on INV-1020 and INV-1023</t>
  </si>
  <si>
    <t xml:space="preserve">   •  Missing PO number on INV-1018</t>
  </si>
  <si>
    <t xml:space="preserve">   •  Missing actual delivery date on INV-1026</t>
  </si>
  <si>
    <t xml:space="preserve">   •  Overpayment recorded on INV-1001</t>
  </si>
  <si>
    <t xml:space="preserve">   •  Payment dated before the invoice date on INV-1048</t>
  </si>
  <si>
    <t xml:space="preserve">   •  Orphan payment PAY-2058 references invoice INV-1099, which is not in the log</t>
  </si>
  <si>
    <t xml:space="preserve">Delete these rows and every exception clears; the reconciliation controls stay at PASS.</t>
  </si>
  <si>
    <t xml:space="preserve">Built with formulas only — no macros, no VBA, no Power Query. Opens in Microsoft Excel, LibreOffice Calc and Google Sheets.</t>
  </si>
  <si>
    <t xml:space="preserve">VendorFlow — Management Dashboard</t>
  </si>
  <si>
    <t xml:space="preserve">Key Performance Indicators</t>
  </si>
  <si>
    <t xml:space="preserve">TOTAL INVOICED</t>
  </si>
  <si>
    <t xml:space="preserve">TOTAL PAID</t>
  </si>
  <si>
    <t xml:space="preserve">TOTAL OUTSTANDING</t>
  </si>
  <si>
    <t xml:space="preserve">TOTAL OVERDUE</t>
  </si>
  <si>
    <t xml:space="preserve">OPEN INVOICES</t>
  </si>
  <si>
    <t xml:space="preserve">OVERDUE INVOICES</t>
  </si>
  <si>
    <t xml:space="preserve">ON-TIME PAYMENT RATE</t>
  </si>
  <si>
    <t xml:space="preserve">AVG DAYS TO PAY</t>
  </si>
  <si>
    <t xml:space="preserve">Accounts Payable Aging</t>
  </si>
  <si>
    <t xml:space="preserve">Payment Status Summary</t>
  </si>
  <si>
    <t xml:space="preserve">Aging Bucket</t>
  </si>
  <si>
    <t xml:space="preserve">Invoices</t>
  </si>
  <si>
    <t xml:space="preserve">Amount</t>
  </si>
  <si>
    <t xml:space="preserve">% of Total</t>
  </si>
  <si>
    <t xml:space="preserve">Payment Status</t>
  </si>
  <si>
    <t xml:space="preserve">Invoice Value</t>
  </si>
  <si>
    <t xml:space="preserve">% of Value</t>
  </si>
  <si>
    <t xml:space="preserve">Not Due Yet</t>
  </si>
  <si>
    <t xml:space="preserve">Unpaid</t>
  </si>
  <si>
    <t xml:space="preserve">1-30 Days Overdue</t>
  </si>
  <si>
    <t xml:space="preserve">Partially Paid</t>
  </si>
  <si>
    <t xml:space="preserve">31-60 Days Overdue</t>
  </si>
  <si>
    <t xml:space="preserve">Paid</t>
  </si>
  <si>
    <t xml:space="preserve">61-90 Days Overdue</t>
  </si>
  <si>
    <t xml:space="preserve">Overpaid</t>
  </si>
  <si>
    <t xml:space="preserve">90+ Days Overdue</t>
  </si>
  <si>
    <t xml:space="preserve">Check Amount</t>
  </si>
  <si>
    <t xml:space="preserve">No Due Date</t>
  </si>
  <si>
    <t xml:space="preserve">Supplier Credit</t>
  </si>
  <si>
    <t xml:space="preserve">Total Outstanding</t>
  </si>
  <si>
    <t xml:space="preserve">100.0%</t>
  </si>
  <si>
    <t xml:space="preserve">Total Invoiced Value</t>
  </si>
  <si>
    <t xml:space="preserve">Top 5 Vendors by Outstanding Balance</t>
  </si>
  <si>
    <t xml:space="preserve">Next 5 Payments Due</t>
  </si>
  <si>
    <t xml:space="preserve">Vendor Name</t>
  </si>
  <si>
    <t xml:space="preserve">Outstanding</t>
  </si>
  <si>
    <t xml:space="preserve">Overdue</t>
  </si>
  <si>
    <t xml:space="preserve">Rating</t>
  </si>
  <si>
    <t xml:space="preserve">Invoice ID</t>
  </si>
  <si>
    <t xml:space="preserve">Due Date</t>
  </si>
  <si>
    <t xml:space="preserve">Monthly Invoiced vs Paid</t>
  </si>
  <si>
    <t xml:space="preserve">Month</t>
  </si>
  <si>
    <t xml:space="preserve">Invoiced</t>
  </si>
  <si>
    <t xml:space="preserve">Net Movement</t>
  </si>
  <si>
    <t xml:space="preserve">Total</t>
  </si>
  <si>
    <t xml:space="preserve">The monthly table counts invoices by invoice date and payments by payment date, so the two columns answer different questions: what we committed to, and what actually left the bank.</t>
  </si>
  <si>
    <t xml:space="preserve">One row per supplier. Yellow columns are typed in; the rest is calculated from the invoice and payment logs.</t>
  </si>
  <si>
    <t xml:space="preserve">Vendor ID is the key that links this sheet to the Invoice &amp; Delivery Log. Never reuse or renumber an ID.</t>
  </si>
  <si>
    <t xml:space="preserve">Supplier Score = On-Time Delivery Rate x weight (Settings!C14) + Full Receipt Rate x weight (Settings!C15). Rating bands are set in Settings rows 17-19.</t>
  </si>
  <si>
    <t xml:space="preserve">Vendor ID</t>
  </si>
  <si>
    <t xml:space="preserve">Category</t>
  </si>
  <si>
    <t xml:space="preserve">Contact Person</t>
  </si>
  <si>
    <t xml:space="preserve">Email</t>
  </si>
  <si>
    <t xml:space="preserve">Phone</t>
  </si>
  <si>
    <t xml:space="preserve">Payment Terms (Days)</t>
  </si>
  <si>
    <t xml:space="preserve">Vendor Status</t>
  </si>
  <si>
    <t xml:space="preserve">Total Invoiced</t>
  </si>
  <si>
    <t xml:space="preserve">Total Paid</t>
  </si>
  <si>
    <t xml:space="preserve">Outstanding Balance</t>
  </si>
  <si>
    <t xml:space="preserve">Overdue Amount</t>
  </si>
  <si>
    <t xml:space="preserve">On-Time Delivery Rate</t>
  </si>
  <si>
    <t xml:space="preserve">Full Receipt Rate</t>
  </si>
  <si>
    <t xml:space="preserve">Avg Days to Pay</t>
  </si>
  <si>
    <t xml:space="preserve">Supplier Score</t>
  </si>
  <si>
    <t xml:space="preserve">Performance Rating</t>
  </si>
  <si>
    <t xml:space="preserve">Rank Key (helper)</t>
  </si>
  <si>
    <t xml:space="preserve">VEN-001</t>
  </si>
  <si>
    <t xml:space="preserve">Northwind Paper Supply</t>
  </si>
  <si>
    <t xml:space="preserve">Office Supplies</t>
  </si>
  <si>
    <t xml:space="preserve">Dana Whitfield</t>
  </si>
  <si>
    <t xml:space="preserve">dana.whitfield@northwindpaper.example</t>
  </si>
  <si>
    <t xml:space="preserve">(312) 555-0142</t>
  </si>
  <si>
    <t xml:space="preserve">Active</t>
  </si>
  <si>
    <t xml:space="preserve">VEN-002</t>
  </si>
  <si>
    <t xml:space="preserve">Cascade Foods Distribution</t>
  </si>
  <si>
    <t xml:space="preserve">Food &amp; Beverage</t>
  </si>
  <si>
    <t xml:space="preserve">Marco Ruiz</t>
  </si>
  <si>
    <t xml:space="preserve">marco.ruiz@cascadefoods.example</t>
  </si>
  <si>
    <t xml:space="preserve">(312) 555-0177</t>
  </si>
  <si>
    <t xml:space="preserve">VEN-003</t>
  </si>
  <si>
    <t xml:space="preserve">Ironbridge Hardware Co.</t>
  </si>
  <si>
    <t xml:space="preserve">Maintenance &amp; Repair</t>
  </si>
  <si>
    <t xml:space="preserve">Priya Nadar</t>
  </si>
  <si>
    <t xml:space="preserve">priya.nadar@ironbridgehw.example</t>
  </si>
  <si>
    <t xml:space="preserve">(773) 555-0188</t>
  </si>
  <si>
    <t xml:space="preserve">VEN-004</t>
  </si>
  <si>
    <t xml:space="preserve">Lakeshore Packaging Group</t>
  </si>
  <si>
    <t xml:space="preserve">Packaging</t>
  </si>
  <si>
    <t xml:space="preserve">Ellen Novak</t>
  </si>
  <si>
    <t xml:space="preserve">ellen.novak@lakeshorepkg.example</t>
  </si>
  <si>
    <t xml:space="preserve">(847) 555-0113</t>
  </si>
  <si>
    <t xml:space="preserve">VEN-005</t>
  </si>
  <si>
    <t xml:space="preserve">Summit Cleaning Services</t>
  </si>
  <si>
    <t xml:space="preserve">Facility Services</t>
  </si>
  <si>
    <t xml:space="preserve">Tomas Berg</t>
  </si>
  <si>
    <t xml:space="preserve">tomas.berg@summitclean.example</t>
  </si>
  <si>
    <t xml:space="preserve">(224) 555-0166</t>
  </si>
  <si>
    <t xml:space="preserve">VEN-006</t>
  </si>
  <si>
    <t xml:space="preserve">Harborline Logistics</t>
  </si>
  <si>
    <t xml:space="preserve">Logistics</t>
  </si>
  <si>
    <t xml:space="preserve">Aisha Karim</t>
  </si>
  <si>
    <t xml:space="preserve">aisha.karim@harborlinelog.example</t>
  </si>
  <si>
    <t xml:space="preserve">(312) 555-0120</t>
  </si>
  <si>
    <t xml:space="preserve">VEN-007</t>
  </si>
  <si>
    <t xml:space="preserve">Bluepoint Electrical Supply</t>
  </si>
  <si>
    <t xml:space="preserve">Electrical</t>
  </si>
  <si>
    <t xml:space="preserve">Greg Salinas</t>
  </si>
  <si>
    <t xml:space="preserve">greg.salinas@bluepointel.example</t>
  </si>
  <si>
    <t xml:space="preserve">(630) 555-0195</t>
  </si>
  <si>
    <t xml:space="preserve">VEN-008</t>
  </si>
  <si>
    <t xml:space="preserve">Prairie Print &amp; Signage</t>
  </si>
  <si>
    <t xml:space="preserve">Marketing &amp; Print</t>
  </si>
  <si>
    <t xml:space="preserve">Nora Feldman</t>
  </si>
  <si>
    <t xml:space="preserve">nora.feldman@prairieprint.example</t>
  </si>
  <si>
    <t xml:space="preserve">(773) 555-0154</t>
  </si>
  <si>
    <t xml:space="preserve">VEN-009</t>
  </si>
  <si>
    <t xml:space="preserve">Vertex IT Solutions</t>
  </si>
  <si>
    <t xml:space="preserve">IT &amp; Software</t>
  </si>
  <si>
    <t xml:space="preserve">Kevin Osei</t>
  </si>
  <si>
    <t xml:space="preserve">kevin.osei@vertexit.example</t>
  </si>
  <si>
    <t xml:space="preserve">(312) 555-0131</t>
  </si>
  <si>
    <t xml:space="preserve">VEN-010</t>
  </si>
  <si>
    <t xml:space="preserve">Copperfield Textiles</t>
  </si>
  <si>
    <t xml:space="preserve">Textiles</t>
  </si>
  <si>
    <t xml:space="preserve">Marta Silva</t>
  </si>
  <si>
    <t xml:space="preserve">marta.silva@copperfieldtex.example</t>
  </si>
  <si>
    <t xml:space="preserve">(847) 555-0109</t>
  </si>
  <si>
    <t xml:space="preserve">VEN-011</t>
  </si>
  <si>
    <t xml:space="preserve">Redstone Safety Equipment</t>
  </si>
  <si>
    <t xml:space="preserve">Safety &amp; PPE</t>
  </si>
  <si>
    <t xml:space="preserve">Owen Brady</t>
  </si>
  <si>
    <t xml:space="preserve">owen.brady@redstonesafety.example</t>
  </si>
  <si>
    <t xml:space="preserve">(630) 555-0172</t>
  </si>
  <si>
    <t xml:space="preserve">VEN-012</t>
  </si>
  <si>
    <t xml:space="preserve">Willowbrook Beverage Co.</t>
  </si>
  <si>
    <t xml:space="preserve">Lena Hart</t>
  </si>
  <si>
    <t xml:space="preserve">lena.hart@willowbrookbev.example</t>
  </si>
  <si>
    <t xml:space="preserve">(224) 555-0148</t>
  </si>
  <si>
    <t xml:space="preserve">Inactive</t>
  </si>
  <si>
    <t xml:space="preserve">One row per supplier invoice. Record the delivery and the invoice here; record the money on the Payments Log.</t>
  </si>
  <si>
    <t xml:space="preserve">Type only in the yellow columns (A-K, N). Everything from L onwards is calculated.</t>
  </si>
  <si>
    <t xml:space="preserve">Due Date = Invoice Date + the payment terms held on Vendor Master. Amount Paid is summed from the Payments Log, so part payments update this sheet automatically.</t>
  </si>
  <si>
    <t xml:space="preserve">Supplier Invoice No.</t>
  </si>
  <si>
    <t xml:space="preserve">PO Number</t>
  </si>
  <si>
    <t xml:space="preserve">Description</t>
  </si>
  <si>
    <t xml:space="preserve">Invoice Date</t>
  </si>
  <si>
    <t xml:space="preserve">Expected Delivery Date</t>
  </si>
  <si>
    <t xml:space="preserve">Actual Delivery Date</t>
  </si>
  <si>
    <t xml:space="preserve">Goods Receipt Status</t>
  </si>
  <si>
    <t xml:space="preserve">Invoice Amount</t>
  </si>
  <si>
    <t xml:space="preserve">Amount Paid</t>
  </si>
  <si>
    <t xml:space="preserve">Days Overdue</t>
  </si>
  <si>
    <t xml:space="preserve">Last Payment Date</t>
  </si>
  <si>
    <t xml:space="preserve">Delivery Performance</t>
  </si>
  <si>
    <t xml:space="preserve">Data Check</t>
  </si>
  <si>
    <t xml:space="preserve">Issue Details</t>
  </si>
  <si>
    <t xml:space="preserve">Open?</t>
  </si>
  <si>
    <t xml:space="preserve">Priority Rank</t>
  </si>
  <si>
    <t xml:space="preserve">INV-1001</t>
  </si>
  <si>
    <t xml:space="preserve">CFT-2026001</t>
  </si>
  <si>
    <t xml:space="preserve">PO-2026-0001</t>
  </si>
  <si>
    <t xml:space="preserve">Staff uniforms</t>
  </si>
  <si>
    <t xml:space="preserve">Received in Full</t>
  </si>
  <si>
    <t xml:space="preserve">INV-1002</t>
  </si>
  <si>
    <t xml:space="preserve">HLL-2026001</t>
  </si>
  <si>
    <t xml:space="preserve">PO-2026-0002</t>
  </si>
  <si>
    <t xml:space="preserve">Courier services</t>
  </si>
  <si>
    <t xml:space="preserve">INV-1003</t>
  </si>
  <si>
    <t xml:space="preserve">HLL-2026002</t>
  </si>
  <si>
    <t xml:space="preserve">PO-2026-0003</t>
  </si>
  <si>
    <t xml:space="preserve">Partially Received</t>
  </si>
  <si>
    <t xml:space="preserve">INV-1004</t>
  </si>
  <si>
    <t xml:space="preserve">CFD-2026001</t>
  </si>
  <si>
    <t xml:space="preserve">PO-2026-0004</t>
  </si>
  <si>
    <t xml:space="preserve">Fresh produce delivery</t>
  </si>
  <si>
    <t xml:space="preserve">INV-1005</t>
  </si>
  <si>
    <t xml:space="preserve">HLL-2026003</t>
  </si>
  <si>
    <t xml:space="preserve">PO-2026-0005</t>
  </si>
  <si>
    <t xml:space="preserve">Warehouse transfer</t>
  </si>
  <si>
    <t xml:space="preserve">INV-1006</t>
  </si>
  <si>
    <t xml:space="preserve">SCS-2026001</t>
  </si>
  <si>
    <t xml:space="preserve">PO-2026-0006</t>
  </si>
  <si>
    <t xml:space="preserve">Deep clean - warehouse</t>
  </si>
  <si>
    <t xml:space="preserve">INV-1007</t>
  </si>
  <si>
    <t xml:space="preserve">WBC-2026001</t>
  </si>
  <si>
    <t xml:space="preserve">PO-2026-0007</t>
  </si>
  <si>
    <t xml:space="preserve">Bottled beverage restock</t>
  </si>
  <si>
    <t xml:space="preserve">INV-1008</t>
  </si>
  <si>
    <t xml:space="preserve">NWP-2026001</t>
  </si>
  <si>
    <t xml:space="preserve">PO-2026-0008</t>
  </si>
  <si>
    <t xml:space="preserve">Printer consumables</t>
  </si>
  <si>
    <t xml:space="preserve">INV-1009</t>
  </si>
  <si>
    <t xml:space="preserve">RSE-2026001</t>
  </si>
  <si>
    <t xml:space="preserve">PO-2026-0009</t>
  </si>
  <si>
    <t xml:space="preserve">First aid restock</t>
  </si>
  <si>
    <t xml:space="preserve">INV-1010</t>
  </si>
  <si>
    <t xml:space="preserve">CFT-2026002</t>
  </si>
  <si>
    <t xml:space="preserve">PO-2026-0010</t>
  </si>
  <si>
    <t xml:space="preserve">Uniform fabric order</t>
  </si>
  <si>
    <t xml:space="preserve">Rejected</t>
  </si>
  <si>
    <t xml:space="preserve">INV-1011</t>
  </si>
  <si>
    <t xml:space="preserve">HLL-2026004</t>
  </si>
  <si>
    <t xml:space="preserve">PO-2026-0011</t>
  </si>
  <si>
    <t xml:space="preserve">INV-1012</t>
  </si>
  <si>
    <t xml:space="preserve">SCS-2026002</t>
  </si>
  <si>
    <t xml:space="preserve">PO-2026-0012</t>
  </si>
  <si>
    <t xml:space="preserve">Sanitation supplies</t>
  </si>
  <si>
    <t xml:space="preserve">INV-1013</t>
  </si>
  <si>
    <t xml:space="preserve">VIT-2026001</t>
  </si>
  <si>
    <t xml:space="preserve">PO-2026-0013</t>
  </si>
  <si>
    <t xml:space="preserve">Laptop hardware</t>
  </si>
  <si>
    <t xml:space="preserve">INV-1014</t>
  </si>
  <si>
    <t xml:space="preserve">IBH-2026001</t>
  </si>
  <si>
    <t xml:space="preserve">PO-2026-0014</t>
  </si>
  <si>
    <t xml:space="preserve">Hand tools and fasteners</t>
  </si>
  <si>
    <t xml:space="preserve">INV-1015</t>
  </si>
  <si>
    <t xml:space="preserve">NWP-2026002</t>
  </si>
  <si>
    <t xml:space="preserve">PO-2026-0015</t>
  </si>
  <si>
    <t xml:space="preserve">Office supplies restock</t>
  </si>
  <si>
    <t xml:space="preserve">INV-1016</t>
  </si>
  <si>
    <t xml:space="preserve">IBH-2026002</t>
  </si>
  <si>
    <t xml:space="preserve">PO-2026-0016</t>
  </si>
  <si>
    <t xml:space="preserve">INV-1017</t>
  </si>
  <si>
    <t xml:space="preserve">VIT-2026002</t>
  </si>
  <si>
    <t xml:space="preserve">PO-2026-0017</t>
  </si>
  <si>
    <t xml:space="preserve">IT support retainer</t>
  </si>
  <si>
    <t xml:space="preserve">INV-1018</t>
  </si>
  <si>
    <t xml:space="preserve">CFD-2026002</t>
  </si>
  <si>
    <t xml:space="preserve">INV-1019</t>
  </si>
  <si>
    <t xml:space="preserve">HLL-2026005</t>
  </si>
  <si>
    <t xml:space="preserve">PO-2026-0019</t>
  </si>
  <si>
    <t xml:space="preserve">INV-1020</t>
  </si>
  <si>
    <t xml:space="preserve">LPG-2026001</t>
  </si>
  <si>
    <t xml:space="preserve">PO-2026-0020</t>
  </si>
  <si>
    <t xml:space="preserve">Pallet wrap</t>
  </si>
  <si>
    <t xml:space="preserve">INV-1021</t>
  </si>
  <si>
    <t xml:space="preserve">BES-2026001</t>
  </si>
  <si>
    <t xml:space="preserve">PO-2026-0021</t>
  </si>
  <si>
    <t xml:space="preserve">Electrical panel parts</t>
  </si>
  <si>
    <t xml:space="preserve">INV-1022</t>
  </si>
  <si>
    <t xml:space="preserve">CFT-2026003</t>
  </si>
  <si>
    <t xml:space="preserve">PO-2026-0022</t>
  </si>
  <si>
    <t xml:space="preserve">Textile bulk order</t>
  </si>
  <si>
    <t xml:space="preserve">INV-1023</t>
  </si>
  <si>
    <t xml:space="preserve">PO-2026-0023</t>
  </si>
  <si>
    <t xml:space="preserve">INV-1024</t>
  </si>
  <si>
    <t xml:space="preserve">IBH-2026003</t>
  </si>
  <si>
    <t xml:space="preserve">PO-2026-0024</t>
  </si>
  <si>
    <t xml:space="preserve">HVAC spare parts</t>
  </si>
  <si>
    <t xml:space="preserve">INV-1025</t>
  </si>
  <si>
    <t xml:space="preserve">WBC-2026002</t>
  </si>
  <si>
    <t xml:space="preserve">PO-2026-0025</t>
  </si>
  <si>
    <t xml:space="preserve">INV-1026</t>
  </si>
  <si>
    <t xml:space="preserve">WBC-2026003</t>
  </si>
  <si>
    <t xml:space="preserve">PO-2026-0026</t>
  </si>
  <si>
    <t xml:space="preserve">Seasonal drinks order</t>
  </si>
  <si>
    <t xml:space="preserve">INV-1027</t>
  </si>
  <si>
    <t xml:space="preserve">CFT-2026004</t>
  </si>
  <si>
    <t xml:space="preserve">PO-2026-0027</t>
  </si>
  <si>
    <t xml:space="preserve">INV-1028</t>
  </si>
  <si>
    <t xml:space="preserve">PPS-2026001</t>
  </si>
  <si>
    <t xml:space="preserve">PO-2026-0028</t>
  </si>
  <si>
    <t xml:space="preserve">Branded packaging print</t>
  </si>
  <si>
    <t xml:space="preserve">INV-1029</t>
  </si>
  <si>
    <t xml:space="preserve">CFT-2026005</t>
  </si>
  <si>
    <t xml:space="preserve">PO-2026-0029</t>
  </si>
  <si>
    <t xml:space="preserve">INV-1030</t>
  </si>
  <si>
    <t xml:space="preserve">VIT-2026003</t>
  </si>
  <si>
    <t xml:space="preserve">PO-2026-0030</t>
  </si>
  <si>
    <t xml:space="preserve">INV-1031</t>
  </si>
  <si>
    <t xml:space="preserve">LPG-2026003</t>
  </si>
  <si>
    <t xml:space="preserve">PO-2026-0031</t>
  </si>
  <si>
    <t xml:space="preserve">INV-1032</t>
  </si>
  <si>
    <t xml:space="preserve">VIT-2026004</t>
  </si>
  <si>
    <t xml:space="preserve">PO-2026-0032</t>
  </si>
  <si>
    <t xml:space="preserve">Software licence renewal</t>
  </si>
  <si>
    <t xml:space="preserve">INV-1033</t>
  </si>
  <si>
    <t xml:space="preserve">SCS-2026003</t>
  </si>
  <si>
    <t xml:space="preserve">PO-2026-0033</t>
  </si>
  <si>
    <t xml:space="preserve">INV-1034</t>
  </si>
  <si>
    <t xml:space="preserve">CFD-2026003</t>
  </si>
  <si>
    <t xml:space="preserve">PO-2026-0034</t>
  </si>
  <si>
    <t xml:space="preserve">INV-1035</t>
  </si>
  <si>
    <t xml:space="preserve">LPG-2026004</t>
  </si>
  <si>
    <t xml:space="preserve">PO-2026-0035</t>
  </si>
  <si>
    <t xml:space="preserve">Corrugated boxes</t>
  </si>
  <si>
    <t xml:space="preserve">INV-1036</t>
  </si>
  <si>
    <t xml:space="preserve">BES-2026002</t>
  </si>
  <si>
    <t xml:space="preserve">PO-2026-0036</t>
  </si>
  <si>
    <t xml:space="preserve">INV-1037</t>
  </si>
  <si>
    <t xml:space="preserve">LPG-2026005</t>
  </si>
  <si>
    <t xml:space="preserve">PO-2026-0037</t>
  </si>
  <si>
    <t xml:space="preserve">Shipping labels and tape</t>
  </si>
  <si>
    <t xml:space="preserve">INV-1038</t>
  </si>
  <si>
    <t xml:space="preserve">SCS-2026004</t>
  </si>
  <si>
    <t xml:space="preserve">PO-2026-0038</t>
  </si>
  <si>
    <t xml:space="preserve">INV-1039</t>
  </si>
  <si>
    <t xml:space="preserve">SCS-2026005</t>
  </si>
  <si>
    <t xml:space="preserve">PO-2026-0039</t>
  </si>
  <si>
    <t xml:space="preserve">Monthly cleaning contract</t>
  </si>
  <si>
    <t xml:space="preserve">INV-1040</t>
  </si>
  <si>
    <t xml:space="preserve">NWP-2026003</t>
  </si>
  <si>
    <t xml:space="preserve">PO-2026-0040</t>
  </si>
  <si>
    <t xml:space="preserve">INV-1041</t>
  </si>
  <si>
    <t xml:space="preserve">CFD-2026004</t>
  </si>
  <si>
    <t xml:space="preserve">PO-2026-0041</t>
  </si>
  <si>
    <t xml:space="preserve">INV-1042</t>
  </si>
  <si>
    <t xml:space="preserve">CFD-2026005</t>
  </si>
  <si>
    <t xml:space="preserve">PO-2026-0042</t>
  </si>
  <si>
    <t xml:space="preserve">Dry goods delivery</t>
  </si>
  <si>
    <t xml:space="preserve">INV-1043</t>
  </si>
  <si>
    <t xml:space="preserve">VIT-2026005</t>
  </si>
  <si>
    <t xml:space="preserve">PO-2026-0043</t>
  </si>
  <si>
    <t xml:space="preserve">INV-1044</t>
  </si>
  <si>
    <t xml:space="preserve">NWP-2026004</t>
  </si>
  <si>
    <t xml:space="preserve">PO-2026-0044</t>
  </si>
  <si>
    <t xml:space="preserve">INV-1045</t>
  </si>
  <si>
    <t xml:space="preserve">CFD-2026006</t>
  </si>
  <si>
    <t xml:space="preserve">PO-2026-0045</t>
  </si>
  <si>
    <t xml:space="preserve">INV-1046</t>
  </si>
  <si>
    <t xml:space="preserve">RSE-2026002</t>
  </si>
  <si>
    <t xml:space="preserve">PO-2026-0046</t>
  </si>
  <si>
    <t xml:space="preserve">Protective eyewear</t>
  </si>
  <si>
    <t xml:space="preserve">INV-1047</t>
  </si>
  <si>
    <t xml:space="preserve">HLL-2026006</t>
  </si>
  <si>
    <t xml:space="preserve">PO-2026-0047</t>
  </si>
  <si>
    <t xml:space="preserve">INV-1048</t>
  </si>
  <si>
    <t xml:space="preserve">HLL-2026007</t>
  </si>
  <si>
    <t xml:space="preserve">PO-2026-0048</t>
  </si>
  <si>
    <t xml:space="preserve">Freight - inbound</t>
  </si>
  <si>
    <t xml:space="preserve">INV-1049</t>
  </si>
  <si>
    <t xml:space="preserve">IBH-2026004</t>
  </si>
  <si>
    <t xml:space="preserve">PO-2026-0049</t>
  </si>
  <si>
    <t xml:space="preserve">INV-1050</t>
  </si>
  <si>
    <t xml:space="preserve">HLL-2026008</t>
  </si>
  <si>
    <t xml:space="preserve">PO-2026-0050</t>
  </si>
  <si>
    <t xml:space="preserve">INV-1051</t>
  </si>
  <si>
    <t xml:space="preserve">SCS-2026006</t>
  </si>
  <si>
    <t xml:space="preserve">PO-2026-0051</t>
  </si>
  <si>
    <t xml:space="preserve">INV-1052</t>
  </si>
  <si>
    <t xml:space="preserve">HLL-2026009</t>
  </si>
  <si>
    <t xml:space="preserve">PO-2026-0052</t>
  </si>
  <si>
    <t xml:space="preserve">INV-1053</t>
  </si>
  <si>
    <t xml:space="preserve">NWP-2026005</t>
  </si>
  <si>
    <t xml:space="preserve">PO-2026-0053</t>
  </si>
  <si>
    <t xml:space="preserve">Copy paper and stationery</t>
  </si>
  <si>
    <t xml:space="preserve">INV-1054</t>
  </si>
  <si>
    <t xml:space="preserve">IBH-2026005</t>
  </si>
  <si>
    <t xml:space="preserve">PO-2026-0054</t>
  </si>
  <si>
    <t xml:space="preserve">INV-1055</t>
  </si>
  <si>
    <t xml:space="preserve">HLL-2026010</t>
  </si>
  <si>
    <t xml:space="preserve">PO-2026-0055</t>
  </si>
  <si>
    <t xml:space="preserve">INV-1056</t>
  </si>
  <si>
    <t xml:space="preserve">SCS-2026007</t>
  </si>
  <si>
    <t xml:space="preserve">PO-2026-0056</t>
  </si>
  <si>
    <t xml:space="preserve">INV-1057</t>
  </si>
  <si>
    <t xml:space="preserve">CFT-2026006</t>
  </si>
  <si>
    <t xml:space="preserve">PO-2026-0057</t>
  </si>
  <si>
    <t xml:space="preserve">INV-1058</t>
  </si>
  <si>
    <t xml:space="preserve">LPG-2026006</t>
  </si>
  <si>
    <t xml:space="preserve">PO-2026-0058</t>
  </si>
  <si>
    <t xml:space="preserve">INV-1059</t>
  </si>
  <si>
    <t xml:space="preserve">NWP-2026006</t>
  </si>
  <si>
    <t xml:space="preserve">PO-2026-0059</t>
  </si>
  <si>
    <t xml:space="preserve">INV-1060</t>
  </si>
  <si>
    <t xml:space="preserve">LPG-2026007</t>
  </si>
  <si>
    <t xml:space="preserve">PO-2026-0060</t>
  </si>
  <si>
    <t xml:space="preserve">One row per payment. Several payments may settle one invoice — that is how partial payments are handled.</t>
  </si>
  <si>
    <t xml:space="preserve">Type only in the yellow columns (A, B, E-I). Pick the Invoice ID from the dropdown so it always matches the Invoice &amp; Delivery Log.</t>
  </si>
  <si>
    <t xml:space="preserve">Never change an invoice amount to record a part payment — add another row here instead.</t>
  </si>
  <si>
    <t xml:space="preserve">Payment ID</t>
  </si>
  <si>
    <t xml:space="preserve">Payment Date</t>
  </si>
  <si>
    <t xml:space="preserve">Payment Amount</t>
  </si>
  <si>
    <t xml:space="preserve">Payment Method</t>
  </si>
  <si>
    <t xml:space="preserve">Bank Reference</t>
  </si>
  <si>
    <t xml:space="preserve">Notes</t>
  </si>
  <si>
    <t xml:space="preserve">Invoice Due Date</t>
  </si>
  <si>
    <t xml:space="preserve">Days to Pay</t>
  </si>
  <si>
    <t xml:space="preserve">Days vs Due Date</t>
  </si>
  <si>
    <t xml:space="preserve">Payment Timing</t>
  </si>
  <si>
    <t xml:space="preserve">Cumulative Paid on Invoice</t>
  </si>
  <si>
    <t xml:space="preserve">Balance After Payment</t>
  </si>
  <si>
    <t xml:space="preserve">PAY-2001</t>
  </si>
  <si>
    <t xml:space="preserve">Check</t>
  </si>
  <si>
    <t xml:space="preserve">BRF-316300</t>
  </si>
  <si>
    <t xml:space="preserve">Partial settlement</t>
  </si>
  <si>
    <t xml:space="preserve">PAY-2002</t>
  </si>
  <si>
    <t xml:space="preserve">Wire</t>
  </si>
  <si>
    <t xml:space="preserve">BRF-715445</t>
  </si>
  <si>
    <t xml:space="preserve">PAY-2003</t>
  </si>
  <si>
    <t xml:space="preserve">BRF-538000</t>
  </si>
  <si>
    <t xml:space="preserve">Final settlement</t>
  </si>
  <si>
    <t xml:space="preserve">PAY-2004</t>
  </si>
  <si>
    <t xml:space="preserve">BRF-784550</t>
  </si>
  <si>
    <t xml:space="preserve">Full settlement</t>
  </si>
  <si>
    <t xml:space="preserve">PAY-2005</t>
  </si>
  <si>
    <t xml:space="preserve">BRF-101756</t>
  </si>
  <si>
    <t xml:space="preserve">PAY-2006</t>
  </si>
  <si>
    <t xml:space="preserve">ACH</t>
  </si>
  <si>
    <t xml:space="preserve">BRF-535520</t>
  </si>
  <si>
    <t xml:space="preserve">PAY-2007</t>
  </si>
  <si>
    <t xml:space="preserve">Bank Transfer</t>
  </si>
  <si>
    <t xml:space="preserve">BRF-713126</t>
  </si>
  <si>
    <t xml:space="preserve">PAY-2008</t>
  </si>
  <si>
    <t xml:space="preserve">BRF-619700</t>
  </si>
  <si>
    <t xml:space="preserve">PAY-2009</t>
  </si>
  <si>
    <t xml:space="preserve">BRF-382180</t>
  </si>
  <si>
    <t xml:space="preserve">PAY-2010</t>
  </si>
  <si>
    <t xml:space="preserve">Company Card</t>
  </si>
  <si>
    <t xml:space="preserve">BRF-231257</t>
  </si>
  <si>
    <t xml:space="preserve">PAY-2011</t>
  </si>
  <si>
    <t xml:space="preserve">BRF-571823</t>
  </si>
  <si>
    <t xml:space="preserve">PAY-2012</t>
  </si>
  <si>
    <t xml:space="preserve">BRF-798092</t>
  </si>
  <si>
    <t xml:space="preserve">PAY-2013</t>
  </si>
  <si>
    <t xml:space="preserve">BRF-802731</t>
  </si>
  <si>
    <t xml:space="preserve">PAY-2014</t>
  </si>
  <si>
    <t xml:space="preserve">BRF-557531</t>
  </si>
  <si>
    <t xml:space="preserve">PAY-2015</t>
  </si>
  <si>
    <t xml:space="preserve">BRF-410422</t>
  </si>
  <si>
    <t xml:space="preserve">PAY-2016</t>
  </si>
  <si>
    <t xml:space="preserve">BRF-808849</t>
  </si>
  <si>
    <t xml:space="preserve">PAY-2017</t>
  </si>
  <si>
    <t xml:space="preserve">BRF-859569</t>
  </si>
  <si>
    <t xml:space="preserve">PAY-2018</t>
  </si>
  <si>
    <t xml:space="preserve">BRF-333971</t>
  </si>
  <si>
    <t xml:space="preserve">PAY-2019</t>
  </si>
  <si>
    <t xml:space="preserve">BRF-656643</t>
  </si>
  <si>
    <t xml:space="preserve">PAY-2020</t>
  </si>
  <si>
    <t xml:space="preserve">BRF-560696</t>
  </si>
  <si>
    <t xml:space="preserve">PAY-2021</t>
  </si>
  <si>
    <t xml:space="preserve">BRF-822085</t>
  </si>
  <si>
    <t xml:space="preserve">PAY-2022</t>
  </si>
  <si>
    <t xml:space="preserve">BRF-720692</t>
  </si>
  <si>
    <t xml:space="preserve">Duplicate transfer - under investigation</t>
  </si>
  <si>
    <t xml:space="preserve">PAY-2023</t>
  </si>
  <si>
    <t xml:space="preserve">BRF-688731</t>
  </si>
  <si>
    <t xml:space="preserve">PAY-2024</t>
  </si>
  <si>
    <t xml:space="preserve">BRF-673989</t>
  </si>
  <si>
    <t xml:space="preserve">PAY-2025</t>
  </si>
  <si>
    <t xml:space="preserve">BRF-231485</t>
  </si>
  <si>
    <t xml:space="preserve">PAY-2026</t>
  </si>
  <si>
    <t xml:space="preserve">BRF-638988</t>
  </si>
  <si>
    <t xml:space="preserve">PAY-2027</t>
  </si>
  <si>
    <t xml:space="preserve">BRF-415512</t>
  </si>
  <si>
    <t xml:space="preserve">PAY-2028</t>
  </si>
  <si>
    <t xml:space="preserve">BRF-357628</t>
  </si>
  <si>
    <t xml:space="preserve">PAY-2029</t>
  </si>
  <si>
    <t xml:space="preserve">BRF-222933</t>
  </si>
  <si>
    <t xml:space="preserve">PAY-2030</t>
  </si>
  <si>
    <t xml:space="preserve">BRF-468975</t>
  </si>
  <si>
    <t xml:space="preserve">PAY-2031</t>
  </si>
  <si>
    <t xml:space="preserve">BRF-233235</t>
  </si>
  <si>
    <t xml:space="preserve">PAY-2032</t>
  </si>
  <si>
    <t xml:space="preserve">BRF-450450</t>
  </si>
  <si>
    <t xml:space="preserve">PAY-2033</t>
  </si>
  <si>
    <t xml:space="preserve">BRF-374811</t>
  </si>
  <si>
    <t xml:space="preserve">PAY-2034</t>
  </si>
  <si>
    <t xml:space="preserve">BRF-414570</t>
  </si>
  <si>
    <t xml:space="preserve">PAY-2035</t>
  </si>
  <si>
    <t xml:space="preserve">BRF-866918</t>
  </si>
  <si>
    <t xml:space="preserve">PAY-2036</t>
  </si>
  <si>
    <t xml:space="preserve">BRF-817602</t>
  </si>
  <si>
    <t xml:space="preserve">PAY-2037</t>
  </si>
  <si>
    <t xml:space="preserve">BRF-878414</t>
  </si>
  <si>
    <t xml:space="preserve">PAY-2038</t>
  </si>
  <si>
    <t xml:space="preserve">BRF-375679</t>
  </si>
  <si>
    <t xml:space="preserve">PAY-2039</t>
  </si>
  <si>
    <t xml:space="preserve">BRF-494175</t>
  </si>
  <si>
    <t xml:space="preserve">PAY-2040</t>
  </si>
  <si>
    <t xml:space="preserve">BRF-104710</t>
  </si>
  <si>
    <t xml:space="preserve">PAY-2041</t>
  </si>
  <si>
    <t xml:space="preserve">BRF-195694</t>
  </si>
  <si>
    <t xml:space="preserve">PAY-2042</t>
  </si>
  <si>
    <t xml:space="preserve">BRF-446631</t>
  </si>
  <si>
    <t xml:space="preserve">PAY-2043</t>
  </si>
  <si>
    <t xml:space="preserve">BRF-510385</t>
  </si>
  <si>
    <t xml:space="preserve">PAY-2044</t>
  </si>
  <si>
    <t xml:space="preserve">BRF-194886</t>
  </si>
  <si>
    <t xml:space="preserve">PAY-2045</t>
  </si>
  <si>
    <t xml:space="preserve">BRF-358971</t>
  </si>
  <si>
    <t xml:space="preserve">PAY-2046</t>
  </si>
  <si>
    <t xml:space="preserve">BRF-802141</t>
  </si>
  <si>
    <t xml:space="preserve">PAY-2047</t>
  </si>
  <si>
    <t xml:space="preserve">BRF-719749</t>
  </si>
  <si>
    <t xml:space="preserve">PAY-2048</t>
  </si>
  <si>
    <t xml:space="preserve">BRF-940291</t>
  </si>
  <si>
    <t xml:space="preserve">PAY-2049</t>
  </si>
  <si>
    <t xml:space="preserve">BRF-857390</t>
  </si>
  <si>
    <t xml:space="preserve">PAY-2050</t>
  </si>
  <si>
    <t xml:space="preserve">BRF-279020</t>
  </si>
  <si>
    <t xml:space="preserve">Advance payment - date to be confirmed</t>
  </si>
  <si>
    <t xml:space="preserve">PAY-2051</t>
  </si>
  <si>
    <t xml:space="preserve">BRF-692347</t>
  </si>
  <si>
    <t xml:space="preserve">PAY-2052</t>
  </si>
  <si>
    <t xml:space="preserve">BRF-567476</t>
  </si>
  <si>
    <t xml:space="preserve">PAY-2053</t>
  </si>
  <si>
    <t xml:space="preserve">BRF-166086</t>
  </si>
  <si>
    <t xml:space="preserve">PAY-2054</t>
  </si>
  <si>
    <t xml:space="preserve">BRF-259707</t>
  </si>
  <si>
    <t xml:space="preserve">PAY-2055</t>
  </si>
  <si>
    <t xml:space="preserve">BRF-427670</t>
  </si>
  <si>
    <t xml:space="preserve">PAY-2056</t>
  </si>
  <si>
    <t xml:space="preserve">BRF-423921</t>
  </si>
  <si>
    <t xml:space="preserve">PAY-2057</t>
  </si>
  <si>
    <t xml:space="preserve">BRF-394900</t>
  </si>
  <si>
    <t xml:space="preserve">PAY-2058</t>
  </si>
  <si>
    <t xml:space="preserve">INV-1099</t>
  </si>
  <si>
    <t xml:space="preserve">BRF-635548</t>
  </si>
  <si>
    <t xml:space="preserve">Reference not found in invoice log</t>
  </si>
  <si>
    <t xml:space="preserve">PAY-2059</t>
  </si>
  <si>
    <t xml:space="preserve">BRF-788216</t>
  </si>
  <si>
    <t xml:space="preserve">PAY-2060</t>
  </si>
  <si>
    <t xml:space="preserve">BRF-775471</t>
  </si>
  <si>
    <t xml:space="preserve">PAY-2061</t>
  </si>
  <si>
    <t xml:space="preserve">BRF-294311</t>
  </si>
  <si>
    <t xml:space="preserve">PAY-2062</t>
  </si>
  <si>
    <t xml:space="preserve">BRF-142390</t>
  </si>
  <si>
    <t xml:space="preserve">PAY-2063</t>
  </si>
  <si>
    <t xml:space="preserve">BRF-840304</t>
  </si>
  <si>
    <t xml:space="preserve">Every open invoice, ranked by urgency, with the cash needed to clear it. Enter your planned payments in the two yellow columns.</t>
  </si>
  <si>
    <t xml:space="preserve">Overdue Now</t>
  </si>
  <si>
    <t xml:space="preserve">Due in 0-7 Days</t>
  </si>
  <si>
    <t xml:space="preserve">Due in 8-14 Days</t>
  </si>
  <si>
    <t xml:space="preserve">Due in 15-30 Days</t>
  </si>
  <si>
    <t xml:space="preserve">Due in 31+ Days</t>
  </si>
  <si>
    <t xml:space="preserve">Total Payable</t>
  </si>
  <si>
    <t xml:space="preserve">Total Planned</t>
  </si>
  <si>
    <t xml:space="preserve">Available Cash Budget</t>
  </si>
  <si>
    <t xml:space="preserve">Budget After Plan</t>
  </si>
  <si>
    <t xml:space="preserve">Yellow = type here.  Everything else recalculates.</t>
  </si>
  <si>
    <t xml:space="preserve">Sort or filter by Priority Rank to work the queue top-down.</t>
  </si>
  <si>
    <t xml:space="preserve">Type your budget here</t>
  </si>
  <si>
    <t xml:space="preserve">Days to Due Date</t>
  </si>
  <si>
    <t xml:space="preserve">Priority Bucket</t>
  </si>
  <si>
    <t xml:space="preserve">Planned Payment Date</t>
  </si>
  <si>
    <t xml:space="preserve">Planned Amount</t>
  </si>
  <si>
    <t xml:space="preserve">Remaining After Plan</t>
  </si>
  <si>
    <t xml:space="preserve">Plan Status</t>
  </si>
  <si>
    <t xml:space="preserve">Part 1 proves the numbers tie together. Part 2 lists the individual records that need attention.</t>
  </si>
  <si>
    <t xml:space="preserve">Part 1 — Reconciliation Controls</t>
  </si>
  <si>
    <t xml:space="preserve">Control</t>
  </si>
  <si>
    <t xml:space="preserve">What it proves</t>
  </si>
  <si>
    <t xml:space="preserve">Expected</t>
  </si>
  <si>
    <t xml:space="preserve">Actual</t>
  </si>
  <si>
    <t xml:space="preserve">Difference / Status</t>
  </si>
  <si>
    <t xml:space="preserve">Invoiced value ties to Vendor Master</t>
  </si>
  <si>
    <t xml:space="preserve">Every invoice belongs to exactly one vendor, so both roll-ups must agree.</t>
  </si>
  <si>
    <t xml:space="preserve">Paid value ties to Vendor Master</t>
  </si>
  <si>
    <t xml:space="preserve">Payments allocated to invoices must equal the vendor-level total paid.</t>
  </si>
  <si>
    <t xml:space="preserve">Outstanding equals invoiced minus paid</t>
  </si>
  <si>
    <t xml:space="preserve">The core accounting identity behind every balance in the workbook.</t>
  </si>
  <si>
    <t xml:space="preserve">Outstanding ties to Vendor Master</t>
  </si>
  <si>
    <t xml:space="preserve">Vendor balances must add up to the invoice-level open balance.</t>
  </si>
  <si>
    <t xml:space="preserve">Invoice paid column ties to the Payments Log</t>
  </si>
  <si>
    <t xml:space="preserve">Amount Paid is summed from payments, so it must equal the matched payments.</t>
  </si>
  <si>
    <t xml:space="preserve">Payments recorded = matched + unmatched</t>
  </si>
  <si>
    <t xml:space="preserve">Nothing recorded on the Payments Log may disappear from the reconciliation.</t>
  </si>
  <si>
    <t xml:space="preserve">Aging buckets add back to the open balance</t>
  </si>
  <si>
    <t xml:space="preserve">Every open invoice must fall into exactly one aging bucket.</t>
  </si>
  <si>
    <t xml:space="preserve">Overdue amount ties to overdue invoices</t>
  </si>
  <si>
    <t xml:space="preserve">The overdue column must equal the balance of invoices past their due date.</t>
  </si>
  <si>
    <t xml:space="preserve">Dashboard totals tie to the source logs</t>
  </si>
  <si>
    <t xml:space="preserve">The management dashboard must not tell a different story from the logs.</t>
  </si>
  <si>
    <t xml:space="preserve">Payment Planner ties to the open invoices</t>
  </si>
  <si>
    <t xml:space="preserve">The planner must ask for exactly the cash the open invoices require.</t>
  </si>
  <si>
    <t xml:space="preserve">A control fails when Expected and Actual differ by one cent or more. Fix the data — never the control formula.</t>
  </si>
  <si>
    <t xml:space="preserve">Part 2 — Data Quality Exceptions</t>
  </si>
  <si>
    <t xml:space="preserve">Exception</t>
  </si>
  <si>
    <t xml:space="preserve">Why it matters</t>
  </si>
  <si>
    <t xml:space="preserve">Records</t>
  </si>
  <si>
    <t xml:space="preserve">Value Involved</t>
  </si>
  <si>
    <t xml:space="preserve">Status</t>
  </si>
  <si>
    <t xml:space="preserve">Invoices flagged for review</t>
  </si>
  <si>
    <t xml:space="preserve">Any invoice row where the Data Check column is not OK.</t>
  </si>
  <si>
    <t xml:space="preserve">Payments flagged for review</t>
  </si>
  <si>
    <t xml:space="preserve">Any payment row where the Data Check column is not OK.</t>
  </si>
  <si>
    <t xml:space="preserve">Payments with no matching invoice</t>
  </si>
  <si>
    <t xml:space="preserve">Money leaves the bank but cannot be allocated to a supplier invoice.</t>
  </si>
  <si>
    <t xml:space="preserve">Duplicate supplier invoice numbers</t>
  </si>
  <si>
    <t xml:space="preserve">The classic double-payment risk: one bill entered twice.</t>
  </si>
  <si>
    <t xml:space="preserve">Duplicate invoice IDs</t>
  </si>
  <si>
    <t xml:space="preserve">Two rows sharing a key would break every lookup in the workbook.</t>
  </si>
  <si>
    <t xml:space="preserve">Duplicate payment IDs</t>
  </si>
  <si>
    <t xml:space="preserve">Duplicated payment keys make the audit trail unreliable.</t>
  </si>
  <si>
    <t xml:space="preserve">Invoices paid above their value</t>
  </si>
  <si>
    <t xml:space="preserve">An overpayment is cash the business should reclaim from the supplier.</t>
  </si>
  <si>
    <t xml:space="preserve">Payments dated before the invoice</t>
  </si>
  <si>
    <t xml:space="preserve">Usually a typing error, sometimes an unapproved advance.</t>
  </si>
  <si>
    <t xml:space="preserve">Invoices with no PO number</t>
  </si>
  <si>
    <t xml:space="preserve">Without a purchase order the spend was never formally approved.</t>
  </si>
  <si>
    <t xml:space="preserve">Deliveries received with no delivery date</t>
  </si>
  <si>
    <t xml:space="preserve">Delivery performance cannot be measured without the date.</t>
  </si>
  <si>
    <t xml:space="preserve">Payments against rejected deliveries</t>
  </si>
  <si>
    <t xml:space="preserve">The business paid for goods it refused to accept.</t>
  </si>
  <si>
    <t xml:space="preserve">Open balances with inactive vendors</t>
  </si>
  <si>
    <t xml:space="preserve">A supplier marked inactive still owes or is owed money.</t>
  </si>
  <si>
    <t xml:space="preserve">Invoices whose Vendor ID does not exist</t>
  </si>
  <si>
    <t xml:space="preserve">The invoice is orphaned from the Vendor Master.</t>
  </si>
  <si>
    <t xml:space="preserve">How to fix an exception</t>
  </si>
  <si>
    <t xml:space="preserve">1.  Open the Invoice &amp; Delivery Log or the Payments Log.</t>
  </si>
  <si>
    <t xml:space="preserve">2.  Click the filter arrow on the Data Check column and keep only REVIEW.</t>
  </si>
  <si>
    <t xml:space="preserve">3.  The Issue Details column next to it spells out exactly what is wrong with that row.</t>
  </si>
  <si>
    <t xml:space="preserve">4.  Correct the source data. The count above drops on its own — nothing here needs editing.</t>
  </si>
  <si>
    <t xml:space="preserve">Part 3 — Coverage</t>
  </si>
  <si>
    <t xml:space="preserve">Invoices recorded</t>
  </si>
  <si>
    <t xml:space="preserve">Invoices passing every check</t>
  </si>
  <si>
    <t xml:space="preserve">Invoice data accuracy</t>
  </si>
  <si>
    <t xml:space="preserve">Payments recorded</t>
  </si>
  <si>
    <t xml:space="preserve">Payments passing every check</t>
  </si>
  <si>
    <t xml:space="preserve">Payment data accuracy</t>
  </si>
  <si>
    <t xml:space="preserve">Reconciliation controls passed</t>
  </si>
  <si>
    <t xml:space="preserve">Reporting date used</t>
  </si>
  <si>
    <t xml:space="preserve">Central parameters. Change a value here and the whole workbook follows.</t>
  </si>
  <si>
    <t xml:space="preserve">Global Parameters</t>
  </si>
  <si>
    <t xml:space="preserve">Reporting Date</t>
  </si>
  <si>
    <t xml:space="preserve">Every overdue, aging and planning figure is measured against this date.</t>
  </si>
  <si>
    <t xml:space="preserve">Currency</t>
  </si>
  <si>
    <t xml:space="preserve">USD</t>
  </si>
  <si>
    <t xml:space="preserve">Label only — all amounts are held in one currency.</t>
  </si>
  <si>
    <t xml:space="preserve">Overdue Grace Days</t>
  </si>
  <si>
    <t xml:space="preserve">Days of tolerance after the due date before an invoice counts as overdue.</t>
  </si>
  <si>
    <t xml:space="preserve">Aging Band 1 — Max Days</t>
  </si>
  <si>
    <t xml:space="preserve">Upper limit of the 1-30 day overdue band.</t>
  </si>
  <si>
    <t xml:space="preserve">Aging Band 2 — Max Days</t>
  </si>
  <si>
    <t xml:space="preserve">Upper limit of the 31-60 day overdue band.</t>
  </si>
  <si>
    <t xml:space="preserve">Aging Band 3 — Max Days</t>
  </si>
  <si>
    <t xml:space="preserve">Upper limit of the 61-90 day overdue band.</t>
  </si>
  <si>
    <t xml:space="preserve">Due Soon Window (Days)</t>
  </si>
  <si>
    <t xml:space="preserve">Invoices due within this many days are flagged as due soon.</t>
  </si>
  <si>
    <t xml:space="preserve">Planning Horizon (Days)</t>
  </si>
  <si>
    <t xml:space="preserve">Length of the cash-planning window on the Payment Planner.</t>
  </si>
  <si>
    <t xml:space="preserve">Weight — On-Time Delivery Rate</t>
  </si>
  <si>
    <t xml:space="preserve">Share of the supplier score driven by delivery punctuality.</t>
  </si>
  <si>
    <t xml:space="preserve">Weight — Full Receipt Rate</t>
  </si>
  <si>
    <t xml:space="preserve">Share of the supplier score driven by complete deliveries.</t>
  </si>
  <si>
    <t xml:space="preserve">Rating A — Minimum Score</t>
  </si>
  <si>
    <t xml:space="preserve">Supplier score at or above this earns an A rating.</t>
  </si>
  <si>
    <t xml:space="preserve">Rating B — Minimum Score</t>
  </si>
  <si>
    <t xml:space="preserve">Supplier score at or above this earns a B rating.</t>
  </si>
  <si>
    <t xml:space="preserve">Rating C — Minimum Score</t>
  </si>
  <si>
    <t xml:space="preserve">Below this the supplier is rated D.</t>
  </si>
  <si>
    <t xml:space="preserve">Weights on rows 14-15 should add up to 100%.</t>
  </si>
  <si>
    <t xml:space="preserve">Replace the Reporting Date with  =TODAY()  to make the workbook self-updating.</t>
  </si>
  <si>
    <t xml:space="preserve">Dropdown Lists</t>
  </si>
  <si>
    <t xml:space="preserve">Vendor Category</t>
  </si>
  <si>
    <t xml:space="preserve">Add a value to any list and it appears in the matching dropdown immediately.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</si>
</sst>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@"/>
    <numFmt numFmtId="167" formatCode="#,##0;\(#,##0\);\-"/>
    <numFmt numFmtId="168" formatCode="0.0%"/>
    <numFmt numFmtId="169" formatCode="#,##0;\-#,##0;\-"/>
    <numFmt numFmtId="170" formatCode="\$#,##0.00;&quot;($&quot;#,##0.00\);\-"/>
    <numFmt numFmtId="171" formatCode="yyyy\-mm\-dd"/>
    <numFmt numFmtId="172" formatCode="mmm\ yyyy"/>
    <numFmt numFmtId="173" formatCode="0.00000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0033CC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1F6B3B"/>
      <name val="Arial"/>
      <family val="0"/>
      <charset val="1"/>
    </font>
    <font>
      <b val="true"/>
      <sz val="10"/>
      <color rgb="FF1E6B2E"/>
      <name val="Arial"/>
      <family val="0"/>
      <charset val="1"/>
    </font>
    <font>
      <b val="true"/>
      <sz val="10"/>
      <color rgb="FF8A5A00"/>
      <name val="Arial"/>
      <family val="0"/>
      <charset val="1"/>
    </font>
    <font>
      <b val="true"/>
      <sz val="10"/>
      <color rgb="FF9C1F1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10"/>
      <color rgb="FF9C1F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44546A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1E6B2E"/>
      <name val="Arial"/>
      <family val="0"/>
      <charset val="1"/>
    </font>
    <font>
      <sz val="9"/>
      <color rgb="FF1A1A1A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1F3864"/>
      <name val="Arial"/>
      <family val="0"/>
      <charset val="1"/>
    </font>
    <font>
      <sz val="9"/>
      <color rgb="FF0033CC"/>
      <name val="Arial"/>
      <family val="0"/>
      <charset val="1"/>
    </font>
    <font>
      <sz val="9"/>
      <color rgb="FF1F6B3B"/>
      <name val="Arial"/>
      <family val="0"/>
      <charset val="1"/>
    </font>
    <font>
      <b val="true"/>
      <sz val="12"/>
      <color rgb="FF0033CC"/>
      <name val="Arial"/>
      <family val="0"/>
      <charset val="1"/>
    </font>
    <font>
      <b val="true"/>
      <sz val="12"/>
      <color rgb="FF1E6B2E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1E6B2E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33CC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A88"/>
        <bgColor rgb="FF1F4E79"/>
      </patternFill>
    </fill>
    <fill>
      <patternFill patternType="solid">
        <fgColor rgb="FFFFFFFF"/>
        <bgColor rgb="FFF4F7FB"/>
      </patternFill>
    </fill>
    <fill>
      <patternFill patternType="solid">
        <fgColor rgb="FFFFF6DD"/>
        <bgColor rgb="FFFFF1CC"/>
      </patternFill>
    </fill>
    <fill>
      <patternFill patternType="solid">
        <fgColor rgb="FFDDF0DD"/>
        <bgColor rgb="FFDDEBF7"/>
      </patternFill>
    </fill>
    <fill>
      <patternFill patternType="solid">
        <fgColor rgb="FFFFF1CC"/>
        <bgColor rgb="FFFFF6DD"/>
      </patternFill>
    </fill>
    <fill>
      <patternFill patternType="solid">
        <fgColor rgb="FFFADBD8"/>
        <bgColor rgb="FFEDEDED"/>
      </patternFill>
    </fill>
    <fill>
      <patternFill patternType="solid">
        <fgColor rgb="FFEDEDED"/>
        <bgColor rgb="FFF2F5FA"/>
      </patternFill>
    </fill>
    <fill>
      <patternFill patternType="solid">
        <fgColor rgb="FFF4F7FB"/>
        <bgColor rgb="FFF2F5FA"/>
      </patternFill>
    </fill>
    <fill>
      <patternFill patternType="solid">
        <fgColor rgb="FFF2F5FA"/>
        <bgColor rgb="FFF4F7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 diagonalUp="false" diagonalDown="false">
      <left style="thin">
        <color rgb="FFD0D7E5"/>
      </left>
      <right style="thin">
        <color rgb="FFD0D7E5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8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3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4" fillId="6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5" fillId="7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6" fillId="8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7" fillId="9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1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2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1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1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1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4">
    <dxf>
      <font>
        <name val="Arial"/>
        <charset val="1"/>
        <family val="0"/>
        <b val="1"/>
        <color rgb="FF9C1F1F"/>
        <sz val="11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8A5A00"/>
        <sz val="11"/>
      </font>
      <fill>
        <patternFill>
          <bgColor rgb="FFFFF1CC"/>
        </patternFill>
      </fill>
    </dxf>
    <dxf>
      <font>
        <name val="Arial"/>
        <charset val="1"/>
        <family val="0"/>
        <b val="1"/>
        <color rgb="FF9C1F1F"/>
        <sz val="9"/>
      </font>
    </dxf>
    <dxf>
      <font>
        <name val="Arial"/>
        <charset val="1"/>
        <family val="0"/>
        <b val="1"/>
        <color rgb="FF1F4E79"/>
        <sz val="9"/>
      </font>
    </dxf>
    <dxf>
      <font>
        <name val="Arial"/>
        <charset val="1"/>
        <family val="0"/>
        <color rgb="FF1E6B2E"/>
        <sz val="9"/>
      </font>
    </dxf>
    <dxf>
      <font>
        <name val="Arial"/>
        <charset val="1"/>
        <family val="0"/>
        <b val="1"/>
        <color rgb="FF9C1F1F"/>
        <sz val="9"/>
      </font>
      <fill>
        <patternFill>
          <bgColor rgb="FFFADBD8"/>
        </patternFill>
      </fill>
    </dxf>
    <dxf>
      <fill>
        <patternFill patternType="solid">
          <fgColor rgb="FF2E5A88"/>
          <bgColor rgb="FF000000"/>
        </patternFill>
      </fill>
    </dxf>
    <dxf>
      <fill>
        <patternFill patternType="solid">
          <fgColor rgb="FFFFF6DD"/>
          <bgColor rgb="FF000000"/>
        </patternFill>
      </fill>
    </dxf>
    <dxf>
      <fill>
        <patternFill patternType="solid">
          <fgColor rgb="FF0033CC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9C1F1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DDF0DD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 patternType="solid">
          <fgColor rgb="FF1E6B2E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8A5A00"/>
          <bgColor rgb="FF000000"/>
        </patternFill>
      </fill>
    </dxf>
    <dxf>
      <font>
        <name val="Arial"/>
        <charset val="1"/>
        <family val="0"/>
        <b val="1"/>
        <color rgb="FF1E6B2E"/>
        <sz val="9"/>
      </font>
      <fill>
        <patternFill>
          <bgColor rgb="FFDDF0DD"/>
        </patternFill>
      </fill>
    </dxf>
    <dxf>
      <font>
        <name val="Arial"/>
        <charset val="1"/>
        <family val="0"/>
        <b val="1"/>
        <color rgb="FF1F4E79"/>
        <sz val="9"/>
      </font>
      <fill>
        <patternFill>
          <bgColor rgb="FFDDEBF7"/>
        </patternFill>
      </fill>
    </dxf>
    <dxf>
      <font>
        <name val="Arial"/>
        <charset val="1"/>
        <family val="0"/>
        <b val="1"/>
        <color rgb="FF8A5A00"/>
        <sz val="9"/>
      </font>
      <fill>
        <patternFill>
          <bgColor rgb="FFFFF1CC"/>
        </patternFill>
      </fill>
    </dxf>
    <dxf>
      <font>
        <name val="Arial"/>
        <charset val="1"/>
        <family val="0"/>
        <color rgb="FF595959"/>
        <sz val="9"/>
      </font>
    </dxf>
    <dxf>
      <fill>
        <patternFill patternType="solid">
          <fgColor rgb="FF1F6B3B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ont>
        <name val="Arial"/>
        <charset val="1"/>
        <family val="0"/>
        <color rgb="FF595959"/>
        <sz val="9"/>
      </font>
      <fill>
        <patternFill>
          <bgColor rgb="FFEDEDED"/>
        </patternFill>
      </fill>
    </dxf>
    <dxf>
      <font>
        <name val="Arial"/>
        <charset val="1"/>
        <family val="0"/>
        <color rgb="FF1E6B2E"/>
        <sz val="9"/>
      </font>
      <fill>
        <patternFill>
          <bgColor rgb="FFDDF0DD"/>
        </patternFill>
      </fill>
    </dxf>
    <dxf>
      <font>
        <name val="Arial"/>
        <charset val="1"/>
        <family val="0"/>
        <color rgb="FF1F4E79"/>
        <sz val="9"/>
      </font>
      <fill>
        <patternFill>
          <bgColor rgb="FFDDEBF7"/>
        </patternFill>
      </fill>
    </dxf>
    <dxf>
      <font>
        <name val="Arial"/>
        <charset val="1"/>
        <family val="0"/>
        <color rgb="FF8A5A00"/>
        <sz val="9"/>
      </font>
      <fill>
        <patternFill>
          <bgColor rgb="FFFFF1CC"/>
        </patternFill>
      </fill>
    </dxf>
    <dxf>
      <font>
        <name val="Arial"/>
        <charset val="1"/>
        <family val="0"/>
        <b val="1"/>
        <color rgb="FF9C1F1F"/>
        <sz val="12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8A5A00"/>
        <sz val="12"/>
      </font>
      <fill>
        <patternFill>
          <bgColor rgb="FFFFF1CC"/>
        </patternFill>
      </fill>
    </dxf>
  </dxfs>
  <colors>
    <indexedColors>
      <rgbColor rgb="FF000000"/>
      <rgbColor rgb="FFFFFFFF"/>
      <rgbColor rgb="FFFF0000"/>
      <rgbColor rgb="FF00FF00"/>
      <rgbColor rgb="FF0033CC"/>
      <rgbColor rgb="FFFFFF00"/>
      <rgbColor rgb="FFFF00FF"/>
      <rgbColor rgb="FF00FFFF"/>
      <rgbColor rgb="FF800000"/>
      <rgbColor rgb="FF1E6B2E"/>
      <rgbColor rgb="FF000080"/>
      <rgbColor rgb="FF8A5A00"/>
      <rgbColor rgb="FF800080"/>
      <rgbColor rgb="FF1F6B3B"/>
      <rgbColor rgb="FFD9D9D9"/>
      <rgbColor rgb="FF808080"/>
      <rgbColor rgb="FF9999FF"/>
      <rgbColor rgb="FFC0504D"/>
      <rgbColor rgb="FFFFF6DD"/>
      <rgbColor rgb="FFDDEBF7"/>
      <rgbColor rgb="FF660066"/>
      <rgbColor rgb="FFFF8080"/>
      <rgbColor rgb="FF2E5A88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A"/>
      <rgbColor rgb="FFDDF0DD"/>
      <rgbColor rgb="FFFFF1CC"/>
      <rgbColor rgb="FFEDEDED"/>
      <rgbColor rgb="FFF4F7FB"/>
      <rgbColor rgb="FFCC99FF"/>
      <rgbColor rgb="FFFADBD8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44546A"/>
      <rgbColor rgb="FF9C1F1F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Accounts Payable Aging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Dashboard!C16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Dashboard!$A$17:$A$23</c:f>
              <c:strCache>
                <c:ptCount val="7"/>
                <c:pt idx="0">
                  <c:v>Not Due Yet</c:v>
                </c:pt>
                <c:pt idx="1">
                  <c:v>1-30 Days Overdue</c:v>
                </c:pt>
                <c:pt idx="2">
                  <c:v>31-60 Days Overdue</c:v>
                </c:pt>
                <c:pt idx="3">
                  <c:v>61-90 Days Overdue</c:v>
                </c:pt>
                <c:pt idx="4">
                  <c:v>90+ Days Overdue</c:v>
                </c:pt>
                <c:pt idx="5">
                  <c:v>No Due Date</c:v>
                </c:pt>
                <c:pt idx="6">
                  <c:v>Supplier Credit</c:v>
                </c:pt>
              </c:strCache>
            </c:strRef>
          </c:cat>
          <c:val>
            <c:numRef>
              <c:f>Dashboard!$C$17:$C$23</c:f>
              <c:numCache>
                <c:formatCode>\$#,##0.00;"($"#,##0.00\);\-</c:formatCode>
                <c:ptCount val="7"/>
                <c:pt idx="0">
                  <c:v>21046.05</c:v>
                </c:pt>
                <c:pt idx="1">
                  <c:v>3865.78</c:v>
                </c:pt>
                <c:pt idx="2">
                  <c:v>5691.73</c:v>
                </c:pt>
                <c:pt idx="3">
                  <c:v>4839.4</c:v>
                </c:pt>
                <c:pt idx="4">
                  <c:v>18313.15</c:v>
                </c:pt>
                <c:pt idx="5">
                  <c:v>0</c:v>
                </c:pt>
                <c:pt idx="6">
                  <c:v>-512.39</c:v>
                </c:pt>
              </c:numCache>
            </c:numRef>
          </c:val>
        </c:ser>
        <c:gapWidth val="150"/>
        <c:overlap val="0"/>
        <c:axId val="94752438"/>
        <c:axId val="86551721"/>
      </c:barChart>
      <c:catAx>
        <c:axId val="947524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51721"/>
        <c:crosses val="autoZero"/>
        <c:auto val="1"/>
        <c:lblAlgn val="ctr"/>
        <c:lblOffset val="100"/>
        <c:noMultiLvlLbl val="0"/>
      </c:catAx>
      <c:valAx>
        <c:axId val="865517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524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Invoiced vs Paid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Dashboard!B35</c:f>
              <c:strCache>
                <c:ptCount val="1"/>
                <c:pt idx="0">
                  <c:v>Invoiced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Dashboard!$A$36:$A$42</c:f>
              <c:strCache>
                <c:ptCount val="7"/>
                <c:pt idx="0">
                  <c:v>Mar 2026</c:v>
                </c:pt>
                <c:pt idx="1">
                  <c:v>Apr 2026</c:v>
                </c:pt>
                <c:pt idx="2">
                  <c:v>May 2026</c:v>
                </c:pt>
                <c:pt idx="3">
                  <c:v>Jun 2026</c:v>
                </c:pt>
                <c:pt idx="4">
                  <c:v>Jul 2026</c:v>
                </c:pt>
                <c:pt idx="5">
                  <c:v>Aug 2026</c:v>
                </c:pt>
                <c:pt idx="6">
                  <c:v>Sep 2026</c:v>
                </c:pt>
              </c:strCache>
            </c:strRef>
          </c:cat>
          <c:val>
            <c:numRef>
              <c:f>Dashboard!$B$36:$B$42</c:f>
              <c:numCache>
                <c:formatCode>\$#,##0.00;"($"#,##0.00\);\-</c:formatCode>
                <c:ptCount val="7"/>
                <c:pt idx="0">
                  <c:v>49496.27</c:v>
                </c:pt>
                <c:pt idx="1">
                  <c:v>43450.64</c:v>
                </c:pt>
                <c:pt idx="2">
                  <c:v>33916.81</c:v>
                </c:pt>
                <c:pt idx="3">
                  <c:v>29918.12</c:v>
                </c:pt>
                <c:pt idx="4">
                  <c:v>23033.09</c:v>
                </c:pt>
                <c:pt idx="5">
                  <c:v>19263.63</c:v>
                </c:pt>
                <c:pt idx="6">
                  <c:v>3330.15</c:v>
                </c:pt>
              </c:numCache>
            </c:numRef>
          </c:val>
        </c:ser>
        <c:ser>
          <c:idx val="1"/>
          <c:order val="1"/>
          <c:tx>
            <c:strRef>
              <c:f>Dashboard!C35</c:f>
              <c:strCache>
                <c:ptCount val="1"/>
                <c:pt idx="0">
                  <c:v>Paid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Dashboard!$A$36:$A$42</c:f>
              <c:strCache>
                <c:ptCount val="7"/>
                <c:pt idx="0">
                  <c:v>Mar 2026</c:v>
                </c:pt>
                <c:pt idx="1">
                  <c:v>Apr 2026</c:v>
                </c:pt>
                <c:pt idx="2">
                  <c:v>May 2026</c:v>
                </c:pt>
                <c:pt idx="3">
                  <c:v>Jun 2026</c:v>
                </c:pt>
                <c:pt idx="4">
                  <c:v>Jul 2026</c:v>
                </c:pt>
                <c:pt idx="5">
                  <c:v>Aug 2026</c:v>
                </c:pt>
                <c:pt idx="6">
                  <c:v>Sep 2026</c:v>
                </c:pt>
              </c:strCache>
            </c:strRef>
          </c:cat>
          <c:val>
            <c:numRef>
              <c:f>Dashboard!$C$36:$C$42</c:f>
              <c:numCache>
                <c:formatCode>\$#,##0.00;"($"#,##0.00\);\-</c:formatCode>
                <c:ptCount val="7"/>
                <c:pt idx="0">
                  <c:v>11300.96</c:v>
                </c:pt>
                <c:pt idx="1">
                  <c:v>40062.55</c:v>
                </c:pt>
                <c:pt idx="2">
                  <c:v>26867.57</c:v>
                </c:pt>
                <c:pt idx="3">
                  <c:v>38431.19</c:v>
                </c:pt>
                <c:pt idx="4">
                  <c:v>22048.71</c:v>
                </c:pt>
                <c:pt idx="5">
                  <c:v>11095.77</c:v>
                </c:pt>
                <c:pt idx="6">
                  <c:v>838.24</c:v>
                </c:pt>
              </c:numCache>
            </c:numRef>
          </c:val>
        </c:ser>
        <c:gapWidth val="150"/>
        <c:overlap val="0"/>
        <c:axId val="91164394"/>
        <c:axId val="30836761"/>
      </c:barChart>
      <c:catAx>
        <c:axId val="91164394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836761"/>
        <c:crosses val="autoZero"/>
        <c:auto val="1"/>
        <c:lblAlgn val="ctr"/>
        <c:lblOffset val="100"/>
        <c:noMultiLvlLbl val="0"/>
      </c:catAx>
      <c:valAx>
        <c:axId val="308367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643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Vendors by Outstanding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Dashboard!B27</c:f>
              <c:strCache>
                <c:ptCount val="1"/>
                <c:pt idx="0">
                  <c:v>Outstanding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Dashboard!$A$28:$A$32</c:f>
              <c:strCache>
                <c:ptCount val="5"/>
                <c:pt idx="0">
                  <c:v>Copperfield Textiles</c:v>
                </c:pt>
                <c:pt idx="1">
                  <c:v>Ironbridge Hardware Co.</c:v>
                </c:pt>
                <c:pt idx="2">
                  <c:v>Harborline Logistics</c:v>
                </c:pt>
                <c:pt idx="3">
                  <c:v>Lakeshore Packaging Group</c:v>
                </c:pt>
                <c:pt idx="4">
                  <c:v>Northwind Paper Supply</c:v>
                </c:pt>
              </c:strCache>
            </c:strRef>
          </c:cat>
          <c:val>
            <c:numRef>
              <c:f>Dashboard!$B$28:$B$32</c:f>
              <c:numCache>
                <c:formatCode>\$#,##0.00;"($"#,##0.00\);\-</c:formatCode>
                <c:ptCount val="5"/>
                <c:pt idx="0">
                  <c:v>17948.79</c:v>
                </c:pt>
                <c:pt idx="1">
                  <c:v>10402.56</c:v>
                </c:pt>
                <c:pt idx="2">
                  <c:v>7891.53</c:v>
                </c:pt>
                <c:pt idx="3">
                  <c:v>6278.18</c:v>
                </c:pt>
                <c:pt idx="4">
                  <c:v>5176.74</c:v>
                </c:pt>
              </c:numCache>
            </c:numRef>
          </c:val>
        </c:ser>
        <c:gapWidth val="150"/>
        <c:overlap val="0"/>
        <c:axId val="4632510"/>
        <c:axId val="6318331"/>
      </c:barChart>
      <c:catAx>
        <c:axId val="46325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8331"/>
        <c:crosses val="autoZero"/>
        <c:auto val="1"/>
        <c:lblAlgn val="ctr"/>
        <c:lblOffset val="100"/>
        <c:noMultiLvlLbl val="0"/>
      </c:catAx>
      <c:valAx>
        <c:axId val="63183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;&quot;($&quot;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25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18</xdr:col>
      <xdr:colOff>147240</xdr:colOff>
      <xdr:row>14</xdr:row>
      <xdr:rowOff>165960</xdr:rowOff>
    </xdr:to>
    <xdr:graphicFrame>
      <xdr:nvGraphicFramePr>
        <xdr:cNvPr id="0" name="Chart 1"/>
        <xdr:cNvGraphicFramePr/>
      </xdr:nvGraphicFramePr>
      <xdr:xfrm>
        <a:off x="9657000" y="800280"/>
        <a:ext cx="503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20</xdr:row>
      <xdr:rowOff>0</xdr:rowOff>
    </xdr:from>
    <xdr:to>
      <xdr:col>18</xdr:col>
      <xdr:colOff>147240</xdr:colOff>
      <xdr:row>33</xdr:row>
      <xdr:rowOff>51480</xdr:rowOff>
    </xdr:to>
    <xdr:graphicFrame>
      <xdr:nvGraphicFramePr>
        <xdr:cNvPr id="1" name="Chart 2"/>
        <xdr:cNvGraphicFramePr/>
      </xdr:nvGraphicFramePr>
      <xdr:xfrm>
        <a:off x="9657000" y="4648320"/>
        <a:ext cx="503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36</xdr:row>
      <xdr:rowOff>0</xdr:rowOff>
    </xdr:from>
    <xdr:to>
      <xdr:col>18</xdr:col>
      <xdr:colOff>147240</xdr:colOff>
      <xdr:row>50</xdr:row>
      <xdr:rowOff>32400</xdr:rowOff>
    </xdr:to>
    <xdr:graphicFrame>
      <xdr:nvGraphicFramePr>
        <xdr:cNvPr id="2" name="Chart 3"/>
        <xdr:cNvGraphicFramePr/>
      </xdr:nvGraphicFramePr>
      <xdr:xfrm>
        <a:off x="9657000" y="8039160"/>
        <a:ext cx="503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H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8" min="5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B4" s="4" t="s">
        <v>2</v>
      </c>
    </row>
    <row r="5" customFormat="false" ht="15" hidden="false" customHeight="true" outlineLevel="0" collapsed="false">
      <c r="B5" s="5" t="s">
        <v>3</v>
      </c>
    </row>
    <row r="6" customFormat="false" ht="15" hidden="false" customHeight="true" outlineLevel="0" collapsed="false">
      <c r="B6" s="5" t="s">
        <v>4</v>
      </c>
    </row>
    <row r="7" customFormat="false" ht="15" hidden="false" customHeight="true" outlineLevel="0" collapsed="false">
      <c r="B7" s="5" t="s">
        <v>5</v>
      </c>
    </row>
    <row r="8" customFormat="false" ht="15" hidden="false" customHeight="true" outlineLevel="0" collapsed="false">
      <c r="B8" s="5" t="s">
        <v>6</v>
      </c>
    </row>
    <row r="10" customFormat="false" ht="15" hidden="false" customHeight="true" outlineLevel="0" collapsed="false">
      <c r="B10" s="4" t="s">
        <v>7</v>
      </c>
    </row>
    <row r="11" customFormat="false" ht="15" hidden="false" customHeight="true" outlineLevel="0" collapsed="false">
      <c r="B11" s="6" t="s">
        <v>8</v>
      </c>
      <c r="C11" s="6" t="s">
        <v>9</v>
      </c>
      <c r="D11" s="7" t="s">
        <v>10</v>
      </c>
      <c r="E11" s="7"/>
      <c r="F11" s="7"/>
      <c r="G11" s="7"/>
      <c r="H11" s="7"/>
    </row>
    <row r="12" customFormat="false" ht="15" hidden="false" customHeight="true" outlineLevel="0" collapsed="false">
      <c r="B12" s="8" t="s">
        <v>11</v>
      </c>
      <c r="C12" s="9" t="s">
        <v>12</v>
      </c>
      <c r="D12" s="9" t="s">
        <v>13</v>
      </c>
      <c r="E12" s="9"/>
      <c r="F12" s="9"/>
      <c r="G12" s="9"/>
      <c r="H12" s="9"/>
    </row>
    <row r="13" customFormat="false" ht="15" hidden="false" customHeight="true" outlineLevel="0" collapsed="false">
      <c r="B13" s="8" t="s">
        <v>14</v>
      </c>
      <c r="C13" s="9" t="s">
        <v>15</v>
      </c>
      <c r="D13" s="9" t="s">
        <v>16</v>
      </c>
      <c r="E13" s="9"/>
      <c r="F13" s="9"/>
      <c r="G13" s="9"/>
      <c r="H13" s="9"/>
    </row>
    <row r="14" customFormat="false" ht="15" hidden="false" customHeight="true" outlineLevel="0" collapsed="false">
      <c r="B14" s="8" t="s">
        <v>17</v>
      </c>
      <c r="C14" s="9" t="s">
        <v>18</v>
      </c>
      <c r="D14" s="9" t="s">
        <v>19</v>
      </c>
      <c r="E14" s="9"/>
      <c r="F14" s="9"/>
      <c r="G14" s="9"/>
      <c r="H14" s="9"/>
    </row>
    <row r="15" customFormat="false" ht="15" hidden="false" customHeight="true" outlineLevel="0" collapsed="false">
      <c r="B15" s="8" t="s">
        <v>20</v>
      </c>
      <c r="C15" s="9" t="s">
        <v>21</v>
      </c>
      <c r="D15" s="9" t="s">
        <v>22</v>
      </c>
      <c r="E15" s="9"/>
      <c r="F15" s="9"/>
      <c r="G15" s="9"/>
      <c r="H15" s="9"/>
    </row>
    <row r="16" customFormat="false" ht="15" hidden="false" customHeight="true" outlineLevel="0" collapsed="false">
      <c r="B16" s="8" t="s">
        <v>23</v>
      </c>
      <c r="C16" s="9" t="s">
        <v>24</v>
      </c>
      <c r="D16" s="9" t="s">
        <v>25</v>
      </c>
      <c r="E16" s="9"/>
      <c r="F16" s="9"/>
      <c r="G16" s="9"/>
      <c r="H16" s="9"/>
    </row>
    <row r="17" customFormat="false" ht="15" hidden="false" customHeight="true" outlineLevel="0" collapsed="false">
      <c r="B17" s="8" t="s">
        <v>26</v>
      </c>
      <c r="C17" s="9" t="s">
        <v>27</v>
      </c>
      <c r="D17" s="9" t="s">
        <v>28</v>
      </c>
      <c r="E17" s="9"/>
      <c r="F17" s="9"/>
      <c r="G17" s="9"/>
      <c r="H17" s="9"/>
    </row>
    <row r="18" customFormat="false" ht="15" hidden="false" customHeight="true" outlineLevel="0" collapsed="false">
      <c r="B18" s="8" t="s">
        <v>29</v>
      </c>
      <c r="C18" s="9" t="s">
        <v>30</v>
      </c>
      <c r="D18" s="9" t="s">
        <v>31</v>
      </c>
      <c r="E18" s="9"/>
      <c r="F18" s="9"/>
      <c r="G18" s="9"/>
      <c r="H18" s="9"/>
    </row>
    <row r="20" customFormat="false" ht="15" hidden="false" customHeight="true" outlineLevel="0" collapsed="false">
      <c r="B20" s="4" t="s">
        <v>32</v>
      </c>
    </row>
    <row r="21" customFormat="false" ht="15" hidden="false" customHeight="true" outlineLevel="0" collapsed="false">
      <c r="B21" s="10" t="s">
        <v>33</v>
      </c>
      <c r="C21" s="9" t="s">
        <v>34</v>
      </c>
      <c r="D21" s="9"/>
      <c r="E21" s="9"/>
      <c r="F21" s="9"/>
      <c r="G21" s="9"/>
      <c r="H21" s="9"/>
    </row>
    <row r="22" customFormat="false" ht="15" hidden="false" customHeight="true" outlineLevel="0" collapsed="false">
      <c r="B22" s="11" t="s">
        <v>35</v>
      </c>
      <c r="C22" s="9" t="s">
        <v>36</v>
      </c>
      <c r="D22" s="9"/>
      <c r="E22" s="9"/>
      <c r="F22" s="9"/>
      <c r="G22" s="9"/>
      <c r="H22" s="9"/>
    </row>
    <row r="23" customFormat="false" ht="15" hidden="false" customHeight="true" outlineLevel="0" collapsed="false">
      <c r="B23" s="12" t="s">
        <v>37</v>
      </c>
      <c r="C23" s="9" t="s">
        <v>38</v>
      </c>
      <c r="D23" s="9"/>
      <c r="E23" s="9"/>
      <c r="F23" s="9"/>
      <c r="G23" s="9"/>
      <c r="H23" s="9"/>
    </row>
    <row r="24" customFormat="false" ht="15" hidden="false" customHeight="true" outlineLevel="0" collapsed="false">
      <c r="B24" s="13" t="s">
        <v>39</v>
      </c>
      <c r="C24" s="9" t="s">
        <v>40</v>
      </c>
      <c r="D24" s="9"/>
      <c r="E24" s="9"/>
      <c r="F24" s="9"/>
      <c r="G24" s="9"/>
      <c r="H24" s="9"/>
    </row>
    <row r="25" customFormat="false" ht="15" hidden="false" customHeight="true" outlineLevel="0" collapsed="false">
      <c r="B25" s="14" t="s">
        <v>41</v>
      </c>
      <c r="C25" s="9" t="s">
        <v>42</v>
      </c>
      <c r="D25" s="9"/>
      <c r="E25" s="9"/>
      <c r="F25" s="9"/>
      <c r="G25" s="9"/>
      <c r="H25" s="9"/>
    </row>
    <row r="26" customFormat="false" ht="15" hidden="false" customHeight="true" outlineLevel="0" collapsed="false">
      <c r="B26" s="15" t="s">
        <v>43</v>
      </c>
      <c r="C26" s="9" t="s">
        <v>44</v>
      </c>
      <c r="D26" s="9"/>
      <c r="E26" s="9"/>
      <c r="F26" s="9"/>
      <c r="G26" s="9"/>
      <c r="H26" s="9"/>
    </row>
    <row r="27" customFormat="false" ht="15" hidden="false" customHeight="true" outlineLevel="0" collapsed="false">
      <c r="B27" s="16" t="s">
        <v>45</v>
      </c>
      <c r="C27" s="9" t="s">
        <v>46</v>
      </c>
      <c r="D27" s="9"/>
      <c r="E27" s="9"/>
      <c r="F27" s="9"/>
      <c r="G27" s="9"/>
      <c r="H27" s="9"/>
    </row>
    <row r="29" customFormat="false" ht="15" hidden="false" customHeight="true" outlineLevel="0" collapsed="false">
      <c r="B29" s="4" t="s">
        <v>47</v>
      </c>
    </row>
    <row r="30" customFormat="false" ht="15" hidden="false" customHeight="true" outlineLevel="0" collapsed="false">
      <c r="B30" s="5" t="s">
        <v>48</v>
      </c>
    </row>
    <row r="31" customFormat="false" ht="15" hidden="false" customHeight="true" outlineLevel="0" collapsed="false">
      <c r="B31" s="5" t="s">
        <v>49</v>
      </c>
    </row>
    <row r="32" customFormat="false" ht="15" hidden="false" customHeight="true" outlineLevel="0" collapsed="false">
      <c r="B32" s="5" t="s">
        <v>50</v>
      </c>
    </row>
    <row r="33" customFormat="false" ht="15" hidden="false" customHeight="true" outlineLevel="0" collapsed="false">
      <c r="B33" s="5" t="s">
        <v>51</v>
      </c>
    </row>
    <row r="34" customFormat="false" ht="15" hidden="false" customHeight="true" outlineLevel="0" collapsed="false">
      <c r="B34" s="5" t="s">
        <v>52</v>
      </c>
    </row>
    <row r="35" customFormat="false" ht="15" hidden="false" customHeight="true" outlineLevel="0" collapsed="false">
      <c r="B35" s="5" t="s">
        <v>53</v>
      </c>
    </row>
    <row r="37" customFormat="false" ht="15" hidden="false" customHeight="true" outlineLevel="0" collapsed="false">
      <c r="B37" s="4" t="s">
        <v>54</v>
      </c>
    </row>
    <row r="38" customFormat="false" ht="15" hidden="false" customHeight="true" outlineLevel="0" collapsed="false">
      <c r="B38" s="5" t="s">
        <v>55</v>
      </c>
    </row>
    <row r="39" customFormat="false" ht="15" hidden="false" customHeight="true" outlineLevel="0" collapsed="false">
      <c r="B39" s="5" t="s">
        <v>56</v>
      </c>
    </row>
    <row r="40" customFormat="false" ht="15" hidden="false" customHeight="true" outlineLevel="0" collapsed="false">
      <c r="B40" s="5" t="s">
        <v>57</v>
      </c>
    </row>
    <row r="41" customFormat="false" ht="15" hidden="false" customHeight="true" outlineLevel="0" collapsed="false">
      <c r="B41" s="5" t="s">
        <v>58</v>
      </c>
    </row>
    <row r="42" customFormat="false" ht="15" hidden="false" customHeight="true" outlineLevel="0" collapsed="false">
      <c r="B42" s="5" t="s">
        <v>59</v>
      </c>
    </row>
    <row r="43" customFormat="false" ht="15" hidden="false" customHeight="true" outlineLevel="0" collapsed="false">
      <c r="B43" s="5" t="s">
        <v>60</v>
      </c>
    </row>
    <row r="44" customFormat="false" ht="15" hidden="false" customHeight="true" outlineLevel="0" collapsed="false">
      <c r="B44" s="5" t="s">
        <v>61</v>
      </c>
    </row>
    <row r="46" customFormat="false" ht="15" hidden="false" customHeight="true" outlineLevel="0" collapsed="false">
      <c r="B46" s="4" t="s">
        <v>62</v>
      </c>
    </row>
    <row r="47" customFormat="false" ht="15" hidden="false" customHeight="true" outlineLevel="0" collapsed="false">
      <c r="B47" s="5" t="s">
        <v>63</v>
      </c>
    </row>
    <row r="48" customFormat="false" ht="15" hidden="false" customHeight="true" outlineLevel="0" collapsed="false">
      <c r="B48" s="5" t="s">
        <v>64</v>
      </c>
    </row>
    <row r="49" customFormat="false" ht="15" hidden="false" customHeight="true" outlineLevel="0" collapsed="false">
      <c r="B49" s="17" t="s">
        <v>65</v>
      </c>
    </row>
    <row r="50" customFormat="false" ht="15" hidden="false" customHeight="true" outlineLevel="0" collapsed="false">
      <c r="B50" s="17" t="s">
        <v>66</v>
      </c>
    </row>
    <row r="51" customFormat="false" ht="15" hidden="false" customHeight="true" outlineLevel="0" collapsed="false">
      <c r="B51" s="17" t="s">
        <v>67</v>
      </c>
    </row>
    <row r="52" customFormat="false" ht="15" hidden="false" customHeight="true" outlineLevel="0" collapsed="false">
      <c r="B52" s="17" t="s">
        <v>68</v>
      </c>
    </row>
    <row r="53" customFormat="false" ht="15" hidden="false" customHeight="true" outlineLevel="0" collapsed="false">
      <c r="B53" s="17" t="s">
        <v>69</v>
      </c>
    </row>
    <row r="54" customFormat="false" ht="15" hidden="false" customHeight="true" outlineLevel="0" collapsed="false">
      <c r="B54" s="17" t="s">
        <v>70</v>
      </c>
    </row>
    <row r="56" customFormat="false" ht="15" hidden="false" customHeight="true" outlineLevel="0" collapsed="false">
      <c r="B56" s="5" t="s">
        <v>71</v>
      </c>
    </row>
    <row r="58" customFormat="false" ht="15" hidden="false" customHeight="true" outlineLevel="0" collapsed="false">
      <c r="B58" s="18" t="s">
        <v>72</v>
      </c>
    </row>
  </sheetData>
  <mergeCells count="17">
    <mergeCell ref="A1:H1"/>
    <mergeCell ref="A2:H2"/>
    <mergeCell ref="D11:H11"/>
    <mergeCell ref="D12:H12"/>
    <mergeCell ref="D13:H13"/>
    <mergeCell ref="D14:H14"/>
    <mergeCell ref="D15:H15"/>
    <mergeCell ref="D16:H16"/>
    <mergeCell ref="D17:H17"/>
    <mergeCell ref="D18:H18"/>
    <mergeCell ref="C21:H21"/>
    <mergeCell ref="C22:H22"/>
    <mergeCell ref="C23:H23"/>
    <mergeCell ref="C24:H24"/>
    <mergeCell ref="C25:H25"/>
    <mergeCell ref="C26:H26"/>
    <mergeCell ref="C27:H27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VendorFlow — Supplier Invoice, Payment &amp;&amp; Performance System&amp;R&amp;8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I4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5" min="5" style="1" width="2.5"/>
    <col collapsed="false" customWidth="true" hidden="false" outlineLevel="0" max="6" min="6" style="1" width="18"/>
    <col collapsed="false" customWidth="true" hidden="false" outlineLevel="0" max="7" min="7" style="1" width="23"/>
    <col collapsed="false" customWidth="true" hidden="false" outlineLevel="0" max="9" min="8" style="1" width="13"/>
    <col collapsed="false" customWidth="true" hidden="false" outlineLevel="0" max="10" min="10" style="1" width="2.5"/>
  </cols>
  <sheetData>
    <row r="1" customFormat="false" ht="30" hidden="false" customHeight="true" outlineLevel="0" collapsed="false">
      <c r="A1" s="2" t="s">
        <v>73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tr">
        <f aca="false">" Reporting date: "&amp;TEXT(Settings!$C$5,"yyyy-mm-dd")&amp;"     |     Currency: "&amp;Settings!$C$6&amp;"     |     Invoices recorded: "&amp;COUNTA('Invoice &amp; Delivery Log'!$A$8:$A$157)&amp;"     |     Payments recorded: "&amp;COUNTA('Payments Log'!$A$8:$A$207)</f>
        <v> Reporting date: 2026-09-07     |     Currency: USD     |     Invoices recorded: 60     |     Payments recorded: 63</v>
      </c>
      <c r="B2" s="3"/>
      <c r="C2" s="3"/>
      <c r="D2" s="3"/>
      <c r="E2" s="3"/>
      <c r="F2" s="3"/>
      <c r="G2" s="3"/>
      <c r="H2" s="3"/>
      <c r="I2" s="3"/>
    </row>
    <row r="4" customFormat="false" ht="19.5" hidden="false" customHeight="true" outlineLevel="0" collapsed="false">
      <c r="A4" s="19" t="s">
        <v>74</v>
      </c>
      <c r="B4" s="19"/>
      <c r="C4" s="19"/>
      <c r="D4" s="19"/>
      <c r="E4" s="19"/>
      <c r="F4" s="19"/>
      <c r="G4" s="19"/>
      <c r="H4" s="19"/>
      <c r="I4" s="19"/>
    </row>
    <row r="5" customFormat="false" ht="15" hidden="false" customHeight="true" outlineLevel="0" collapsed="false">
      <c r="A5" s="20" t="s">
        <v>75</v>
      </c>
      <c r="B5" s="20"/>
      <c r="C5" s="20" t="s">
        <v>76</v>
      </c>
      <c r="D5" s="20"/>
      <c r="F5" s="20" t="s">
        <v>77</v>
      </c>
      <c r="G5" s="20"/>
      <c r="H5" s="20" t="s">
        <v>78</v>
      </c>
      <c r="I5" s="20"/>
    </row>
    <row r="6" customFormat="false" ht="25.5" hidden="false" customHeight="true" outlineLevel="0" collapsed="false">
      <c r="A6" s="21" t="n">
        <f aca="false">SUM('Invoice &amp; Delivery Log'!$N$8:$N$157)</f>
        <v>202408.71</v>
      </c>
      <c r="B6" s="21"/>
      <c r="C6" s="21" t="n">
        <f aca="false">SUM('Invoice &amp; Delivery Log'!$O$8:$O$157)</f>
        <v>149164.99</v>
      </c>
      <c r="D6" s="21"/>
      <c r="F6" s="21" t="n">
        <f aca="false">SUM('Invoice &amp; Delivery Log'!$P$8:$P$157)</f>
        <v>53243.72</v>
      </c>
      <c r="G6" s="21"/>
      <c r="H6" s="21" t="n">
        <f aca="false">SUM('Invoice &amp; Delivery Log'!$S$8:$S$157)</f>
        <v>32710.06</v>
      </c>
      <c r="I6" s="21"/>
    </row>
    <row r="7" customFormat="false" ht="15" hidden="false" customHeight="true" outlineLevel="0" collapsed="false">
      <c r="A7" s="22" t="str">
        <f aca="false">"Across "&amp;COUNTA('Invoice &amp; Delivery Log'!$A$8:$A$157)&amp;" supplier invoices"</f>
        <v>Across 60 supplier invoices</v>
      </c>
      <c r="B7" s="22"/>
      <c r="C7" s="22" t="str">
        <f aca="false">"Settled through "&amp;COUNTA('Payments Log'!$A$8:$A$207)&amp;" payments"</f>
        <v>Settled through 63 payments</v>
      </c>
      <c r="D7" s="22"/>
      <c r="F7" s="22" t="str">
        <f aca="false">IFERROR(TEXT(SUM('Invoice &amp; Delivery Log'!$P$8:$P$157)/SUM('Invoice &amp; Delivery Log'!$N$8:$N$157),"0.0%")&amp;" of invoiced value","")</f>
        <v>26.3% of invoiced value</v>
      </c>
      <c r="G7" s="22"/>
      <c r="H7" s="22" t="str">
        <f aca="false">IFERROR(TEXT(SUM('Invoice &amp; Delivery Log'!$S$8:$S$157)/SUM('Invoice &amp; Delivery Log'!$P$8:$P$157),"0.0%")&amp;" of the open balance","")</f>
        <v>61.4% of the open balance</v>
      </c>
      <c r="I7" s="22"/>
    </row>
    <row r="9" customFormat="false" ht="15" hidden="false" customHeight="true" outlineLevel="0" collapsed="false">
      <c r="A9" s="20" t="s">
        <v>79</v>
      </c>
      <c r="B9" s="20"/>
      <c r="C9" s="20" t="s">
        <v>80</v>
      </c>
      <c r="D9" s="20"/>
      <c r="F9" s="20" t="s">
        <v>81</v>
      </c>
      <c r="G9" s="20"/>
      <c r="H9" s="20" t="s">
        <v>82</v>
      </c>
      <c r="I9" s="20"/>
    </row>
    <row r="10" customFormat="false" ht="25.5" hidden="false" customHeight="true" outlineLevel="0" collapsed="false">
      <c r="A10" s="23" t="n">
        <f aca="false">COUNTIF('Invoice &amp; Delivery Log'!$Y$8:$Y$157,"Yes")</f>
        <v>18</v>
      </c>
      <c r="B10" s="23"/>
      <c r="C10" s="23" t="n">
        <f aca="false">COUNTIFS('Invoice &amp; Delivery Log'!$R$8:$R$157,"&gt;0")</f>
        <v>12</v>
      </c>
      <c r="D10" s="23"/>
      <c r="F10" s="24" t="n">
        <f aca="false">IFERROR(COUNTIF('Payments Log'!$N$8:$N$207,"On Time")/(COUNTIF('Payments Log'!$N$8:$N$207,"On Time")+COUNTIF('Payments Log'!$N$8:$N$207,"Late")),"")</f>
        <v>0.838709677419355</v>
      </c>
      <c r="G10" s="24"/>
      <c r="H10" s="25" t="n">
        <f aca="false">IFERROR(ROUND(AVERAGEIFS('Payments Log'!$L$8:$L$207,'Payments Log'!$L$8:$L$207,"&gt;=0"),0),"")</f>
        <v>19</v>
      </c>
      <c r="I10" s="25"/>
    </row>
    <row r="11" customFormat="false" ht="15" hidden="false" customHeight="true" outlineLevel="0" collapsed="false">
      <c r="A11" s="22" t="str">
        <f aca="false">"of "&amp;COUNTA('Invoice &amp; Delivery Log'!$A$8:$A$157)&amp;" invoices recorded"</f>
        <v>of 60 invoices recorded</v>
      </c>
      <c r="B11" s="22"/>
      <c r="C11" s="22" t="str">
        <f aca="false">IFERROR(TEXT(COUNTIFS('Invoice &amp; Delivery Log'!$R$8:$R$157,"&gt;0")/COUNTIF('Invoice &amp; Delivery Log'!$Y$8:$Y$157,"Yes"),"0.0%")&amp;" of open invoices","")</f>
        <v>66.7% of open invoices</v>
      </c>
      <c r="D11" s="22"/>
      <c r="F11" s="22" t="str">
        <f aca="false">"Payments made on or before the due date"</f>
        <v>Payments made on or before the due date</v>
      </c>
      <c r="G11" s="22"/>
      <c r="H11" s="22" t="str">
        <f aca="false">"Days from invoice date to payment"</f>
        <v>Days from invoice date to payment</v>
      </c>
      <c r="I11" s="22"/>
    </row>
    <row r="13" customFormat="false" ht="24" hidden="false" customHeight="true" outlineLevel="0" collapsed="false">
      <c r="A13" s="26" t="str">
        <f aca="false">IF(COUNTIF('Data Quality &amp; Reconciliation'!$F$8:$F$17,"FAIL")&gt;0,"RECONCILIATION CONTROL FAILED — open Data Quality &amp; Reconciliation",IF(COUNTIF('Invoice &amp; Delivery Log'!$W$8:$W$157,"REVIEW")+COUNTIF('Payments Log'!$Q$8:$Q$207,"REVIEW")=0,"All reconciliation controls passed and no data exceptions were found","All reconciliation controls passed — "&amp;(COUNTIF('Invoice &amp; Delivery Log'!$W$8:$W$157,"REVIEW")+COUNTIF('Payments Log'!$Q$8:$Q$207,"REVIEW"))&amp;" data exceptions to review"))</f>
        <v>All reconciliation controls passed — 8 data exceptions to review</v>
      </c>
      <c r="B13" s="26"/>
      <c r="C13" s="26"/>
      <c r="D13" s="26"/>
      <c r="E13" s="26"/>
      <c r="F13" s="26"/>
      <c r="G13" s="26"/>
      <c r="H13" s="26"/>
      <c r="I13" s="26"/>
    </row>
    <row r="15" customFormat="false" ht="19.5" hidden="false" customHeight="true" outlineLevel="0" collapsed="false">
      <c r="A15" s="19" t="s">
        <v>83</v>
      </c>
      <c r="B15" s="19"/>
      <c r="C15" s="19"/>
      <c r="D15" s="19"/>
      <c r="F15" s="19" t="s">
        <v>84</v>
      </c>
      <c r="G15" s="19"/>
      <c r="H15" s="19"/>
      <c r="I15" s="19"/>
    </row>
    <row r="16" customFormat="false" ht="24" hidden="false" customHeight="true" outlineLevel="0" collapsed="false">
      <c r="A16" s="27" t="s">
        <v>85</v>
      </c>
      <c r="B16" s="27" t="s">
        <v>86</v>
      </c>
      <c r="C16" s="27" t="s">
        <v>87</v>
      </c>
      <c r="D16" s="27" t="s">
        <v>88</v>
      </c>
      <c r="F16" s="27" t="s">
        <v>89</v>
      </c>
      <c r="G16" s="27" t="s">
        <v>86</v>
      </c>
      <c r="H16" s="27" t="s">
        <v>90</v>
      </c>
      <c r="I16" s="27" t="s">
        <v>91</v>
      </c>
    </row>
    <row r="17" customFormat="false" ht="15" hidden="false" customHeight="true" outlineLevel="0" collapsed="false">
      <c r="A17" s="28" t="s">
        <v>92</v>
      </c>
      <c r="B17" s="29" t="n">
        <f aca="false">COUNTIFS('Invoice &amp; Delivery Log'!$T$8:$T$157,$A17)</f>
        <v>6</v>
      </c>
      <c r="C17" s="30" t="n">
        <f aca="false">SUMIFS('Invoice &amp; Delivery Log'!$P$8:$P$157,'Invoice &amp; Delivery Log'!$T$8:$T$157,$A17)</f>
        <v>21046.05</v>
      </c>
      <c r="D17" s="31" t="n">
        <f aca="false">IFERROR($C17/$C$24,"")</f>
        <v>0.395277602691923</v>
      </c>
      <c r="F17" s="28" t="s">
        <v>93</v>
      </c>
      <c r="G17" s="29" t="n">
        <f aca="false">COUNTIFS('Invoice &amp; Delivery Log'!$Q$8:$Q$157,$F17)</f>
        <v>12</v>
      </c>
      <c r="H17" s="30" t="n">
        <f aca="false">SUMIFS('Invoice &amp; Delivery Log'!$N$8:$N$157,'Invoice &amp; Delivery Log'!$Q$8:$Q$157,$F17)</f>
        <v>47350.33</v>
      </c>
      <c r="I17" s="31" t="n">
        <f aca="false">IFERROR($H17/$H$24,"")</f>
        <v>0.233934251149568</v>
      </c>
    </row>
    <row r="18" customFormat="false" ht="15" hidden="false" customHeight="true" outlineLevel="0" collapsed="false">
      <c r="A18" s="28" t="s">
        <v>94</v>
      </c>
      <c r="B18" s="29" t="n">
        <f aca="false">COUNTIFS('Invoice &amp; Delivery Log'!$T$8:$T$157,$A18)</f>
        <v>2</v>
      </c>
      <c r="C18" s="30" t="n">
        <f aca="false">SUMIFS('Invoice &amp; Delivery Log'!$P$8:$P$157,'Invoice &amp; Delivery Log'!$T$8:$T$157,$A18)</f>
        <v>3865.78</v>
      </c>
      <c r="D18" s="31" t="n">
        <f aca="false">IFERROR($C18/$C$24,"")</f>
        <v>0.0726053701732336</v>
      </c>
      <c r="F18" s="28" t="s">
        <v>95</v>
      </c>
      <c r="G18" s="29" t="n">
        <f aca="false">COUNTIFS('Invoice &amp; Delivery Log'!$Q$8:$Q$157,$F18)</f>
        <v>6</v>
      </c>
      <c r="H18" s="30" t="n">
        <f aca="false">SUMIFS('Invoice &amp; Delivery Log'!$N$8:$N$157,'Invoice &amp; Delivery Log'!$Q$8:$Q$157,$F18)</f>
        <v>12700.07</v>
      </c>
      <c r="I18" s="31" t="n">
        <f aca="false">IFERROR($H18/$H$24,"")</f>
        <v>0.0627446812936064</v>
      </c>
    </row>
    <row r="19" customFormat="false" ht="15" hidden="false" customHeight="true" outlineLevel="0" collapsed="false">
      <c r="A19" s="28" t="s">
        <v>96</v>
      </c>
      <c r="B19" s="29" t="n">
        <f aca="false">COUNTIFS('Invoice &amp; Delivery Log'!$T$8:$T$157,$A19)</f>
        <v>4</v>
      </c>
      <c r="C19" s="30" t="n">
        <f aca="false">SUMIFS('Invoice &amp; Delivery Log'!$P$8:$P$157,'Invoice &amp; Delivery Log'!$T$8:$T$157,$A19)</f>
        <v>5691.73</v>
      </c>
      <c r="D19" s="31" t="n">
        <f aca="false">IFERROR($C19/$C$24,"")</f>
        <v>0.106899555478092</v>
      </c>
      <c r="F19" s="28" t="s">
        <v>97</v>
      </c>
      <c r="G19" s="29" t="n">
        <f aca="false">COUNTIFS('Invoice &amp; Delivery Log'!$Q$8:$Q$157,$F19)</f>
        <v>41</v>
      </c>
      <c r="H19" s="30" t="n">
        <f aca="false">SUMIFS('Invoice &amp; Delivery Log'!$N$8:$N$157,'Invoice &amp; Delivery Log'!$Q$8:$Q$157,$F19)</f>
        <v>138088.39</v>
      </c>
      <c r="I19" s="31" t="n">
        <f aca="false">IFERROR($H19/$H$24,"")</f>
        <v>0.682225532685822</v>
      </c>
    </row>
    <row r="20" customFormat="false" ht="15" hidden="false" customHeight="true" outlineLevel="0" collapsed="false">
      <c r="A20" s="28" t="s">
        <v>98</v>
      </c>
      <c r="B20" s="29" t="n">
        <f aca="false">COUNTIFS('Invoice &amp; Delivery Log'!$T$8:$T$157,$A20)</f>
        <v>2</v>
      </c>
      <c r="C20" s="30" t="n">
        <f aca="false">SUMIFS('Invoice &amp; Delivery Log'!$P$8:$P$157,'Invoice &amp; Delivery Log'!$T$8:$T$157,$A20)</f>
        <v>4839.4</v>
      </c>
      <c r="D20" s="31" t="n">
        <f aca="false">IFERROR($C20/$C$24,"")</f>
        <v>0.0908914703931281</v>
      </c>
      <c r="F20" s="28" t="s">
        <v>99</v>
      </c>
      <c r="G20" s="29" t="n">
        <f aca="false">COUNTIFS('Invoice &amp; Delivery Log'!$Q$8:$Q$157,$F20)</f>
        <v>1</v>
      </c>
      <c r="H20" s="30" t="n">
        <f aca="false">SUMIFS('Invoice &amp; Delivery Log'!$N$8:$N$157,'Invoice &amp; Delivery Log'!$Q$8:$Q$157,$F20)</f>
        <v>4269.92</v>
      </c>
      <c r="I20" s="31" t="n">
        <f aca="false">IFERROR($H20/$H$24,"")</f>
        <v>0.0210955348710043</v>
      </c>
    </row>
    <row r="21" customFormat="false" ht="15" hidden="false" customHeight="true" outlineLevel="0" collapsed="false">
      <c r="A21" s="28" t="s">
        <v>100</v>
      </c>
      <c r="B21" s="29" t="n">
        <f aca="false">COUNTIFS('Invoice &amp; Delivery Log'!$T$8:$T$157,$A21)</f>
        <v>4</v>
      </c>
      <c r="C21" s="30" t="n">
        <f aca="false">SUMIFS('Invoice &amp; Delivery Log'!$P$8:$P$157,'Invoice &amp; Delivery Log'!$T$8:$T$157,$A21)</f>
        <v>18313.15</v>
      </c>
      <c r="D21" s="31" t="n">
        <f aca="false">IFERROR($C21/$C$24,"")</f>
        <v>0.343949483619852</v>
      </c>
      <c r="F21" s="28" t="s">
        <v>101</v>
      </c>
      <c r="G21" s="29" t="n">
        <f aca="false">COUNTIFS('Invoice &amp; Delivery Log'!$Q$8:$Q$157,$F21)</f>
        <v>0</v>
      </c>
      <c r="H21" s="30" t="n">
        <f aca="false">SUMIFS('Invoice &amp; Delivery Log'!$N$8:$N$157,'Invoice &amp; Delivery Log'!$Q$8:$Q$157,$F21)</f>
        <v>0</v>
      </c>
      <c r="I21" s="31" t="n">
        <f aca="false">IFERROR($H21/$H$24,"")</f>
        <v>0</v>
      </c>
    </row>
    <row r="22" customFormat="false" ht="15" hidden="false" customHeight="true" outlineLevel="0" collapsed="false">
      <c r="A22" s="28" t="s">
        <v>102</v>
      </c>
      <c r="B22" s="29" t="n">
        <f aca="false">COUNTIFS('Invoice &amp; Delivery Log'!$T$8:$T$157,$A22)</f>
        <v>0</v>
      </c>
      <c r="C22" s="30" t="n">
        <f aca="false">SUMIFS('Invoice &amp; Delivery Log'!$P$8:$P$157,'Invoice &amp; Delivery Log'!$T$8:$T$157,$A22)</f>
        <v>0</v>
      </c>
      <c r="D22" s="31" t="n">
        <f aca="false">IFERROR($C22/$C$24,"")</f>
        <v>0</v>
      </c>
    </row>
    <row r="23" customFormat="false" ht="15" hidden="false" customHeight="true" outlineLevel="0" collapsed="false">
      <c r="A23" s="28" t="s">
        <v>103</v>
      </c>
      <c r="B23" s="29" t="n">
        <f aca="false">COUNTIFS('Invoice &amp; Delivery Log'!$T$8:$T$157,$A23)</f>
        <v>1</v>
      </c>
      <c r="C23" s="30" t="n">
        <f aca="false">SUMIFS('Invoice &amp; Delivery Log'!$P$8:$P$157,'Invoice &amp; Delivery Log'!$T$8:$T$157,$A23)</f>
        <v>-512.39</v>
      </c>
      <c r="D23" s="31" t="n">
        <f aca="false">IFERROR($C23/$C$24,"")</f>
        <v>-0.00962348235622905</v>
      </c>
    </row>
    <row r="24" customFormat="false" ht="15" hidden="false" customHeight="true" outlineLevel="0" collapsed="false">
      <c r="A24" s="32" t="s">
        <v>104</v>
      </c>
      <c r="B24" s="33" t="n">
        <f aca="false">SUM($B$17:$B$23)</f>
        <v>19</v>
      </c>
      <c r="C24" s="34" t="n">
        <f aca="false">SUM($C$17:$C$23)</f>
        <v>53243.72</v>
      </c>
      <c r="D24" s="35" t="s">
        <v>105</v>
      </c>
      <c r="F24" s="32" t="s">
        <v>106</v>
      </c>
      <c r="G24" s="33" t="n">
        <f aca="false">SUM($G$17:$G$23)</f>
        <v>60</v>
      </c>
      <c r="H24" s="34" t="n">
        <f aca="false">SUM($H$17:$H$23)</f>
        <v>202408.71</v>
      </c>
      <c r="I24" s="35" t="s">
        <v>105</v>
      </c>
    </row>
    <row r="26" customFormat="false" ht="19.5" hidden="false" customHeight="true" outlineLevel="0" collapsed="false">
      <c r="A26" s="19" t="s">
        <v>107</v>
      </c>
      <c r="B26" s="19"/>
      <c r="C26" s="19"/>
      <c r="D26" s="19"/>
      <c r="F26" s="19" t="s">
        <v>108</v>
      </c>
      <c r="G26" s="19"/>
      <c r="H26" s="19"/>
      <c r="I26" s="19"/>
    </row>
    <row r="27" customFormat="false" ht="24" hidden="false" customHeight="true" outlineLevel="0" collapsed="false">
      <c r="A27" s="27" t="s">
        <v>109</v>
      </c>
      <c r="B27" s="27" t="s">
        <v>110</v>
      </c>
      <c r="C27" s="27" t="s">
        <v>111</v>
      </c>
      <c r="D27" s="27" t="s">
        <v>112</v>
      </c>
      <c r="F27" s="27" t="s">
        <v>113</v>
      </c>
      <c r="G27" s="27" t="s">
        <v>109</v>
      </c>
      <c r="H27" s="27" t="s">
        <v>114</v>
      </c>
      <c r="I27" s="27" t="s">
        <v>110</v>
      </c>
    </row>
    <row r="28" customFormat="false" ht="15" hidden="false" customHeight="true" outlineLevel="0" collapsed="false">
      <c r="A28" s="28" t="str">
        <f aca="false">IFERROR(IF(LARGE('Vendor Master'!$S$8:$S$47,1)&lt;=0,"",INDEX('Vendor Master'!$B$8:$B$47,MATCH(LARGE('Vendor Master'!$S$8:$S$47,1),'Vendor Master'!$S$8:$S$47,0))),"")</f>
        <v>Copperfield Textiles</v>
      </c>
      <c r="B28" s="30" t="n">
        <f aca="false">IFERROR(IF(LARGE('Vendor Master'!$S$8:$S$47,1)&lt;=0,"",INDEX('Vendor Master'!$L$8:$L$47,MATCH(LARGE('Vendor Master'!$S$8:$S$47,1),'Vendor Master'!$S$8:$S$47,0))),"")</f>
        <v>17948.79</v>
      </c>
      <c r="C28" s="30" t="n">
        <f aca="false">IFERROR(IF(LARGE('Vendor Master'!$S$8:$S$47,1)&lt;=0,"",INDEX('Vendor Master'!$M$8:$M$47,MATCH(LARGE('Vendor Master'!$S$8:$S$47,1),'Vendor Master'!$S$8:$S$47,0))),"")</f>
        <v>9042.96</v>
      </c>
      <c r="D28" s="36" t="str">
        <f aca="false">IFERROR(IF(LARGE('Vendor Master'!$S$8:$S$47,1)&lt;=0,"",INDEX('Vendor Master'!$R$8:$R$47,MATCH(LARGE('Vendor Master'!$S$8:$S$47,1),'Vendor Master'!$S$8:$S$47,0))),"")</f>
        <v>C</v>
      </c>
      <c r="F28" s="36" t="str">
        <f aca="false">IFERROR(INDEX('Invoice &amp; Delivery Log'!$A$8:$A$157,MATCH(1,'Invoice &amp; Delivery Log'!$Z$8:$Z$157,0)),"")</f>
        <v>INV-1003</v>
      </c>
      <c r="G28" s="28" t="str">
        <f aca="false">IFERROR(INDEX('Invoice &amp; Delivery Log'!$C$8:$C$157,MATCH(1,'Invoice &amp; Delivery Log'!$Z$8:$Z$157,0)),"")</f>
        <v>Harborline Logistics</v>
      </c>
      <c r="H28" s="37" t="n">
        <f aca="false">IFERROR(INDEX('Invoice &amp; Delivery Log'!$M$8:$M$157,MATCH(1,'Invoice &amp; Delivery Log'!$Z$8:$Z$157,0)),"")</f>
        <v>46121</v>
      </c>
      <c r="I28" s="30" t="n">
        <f aca="false">IFERROR(INDEX('Invoice &amp; Delivery Log'!$P$8:$P$157,MATCH(1,'Invoice &amp; Delivery Log'!$Z$8:$Z$157,0)),"")</f>
        <v>6019.33</v>
      </c>
    </row>
    <row r="29" customFormat="false" ht="15" hidden="false" customHeight="true" outlineLevel="0" collapsed="false">
      <c r="A29" s="28" t="str">
        <f aca="false">IFERROR(IF(LARGE('Vendor Master'!$S$8:$S$47,2)&lt;=0,"",INDEX('Vendor Master'!$B$8:$B$47,MATCH(LARGE('Vendor Master'!$S$8:$S$47,2),'Vendor Master'!$S$8:$S$47,0))),"")</f>
        <v>Ironbridge Hardware Co.</v>
      </c>
      <c r="B29" s="30" t="n">
        <f aca="false">IFERROR(IF(LARGE('Vendor Master'!$S$8:$S$47,2)&lt;=0,"",INDEX('Vendor Master'!$L$8:$L$47,MATCH(LARGE('Vendor Master'!$S$8:$S$47,2),'Vendor Master'!$S$8:$S$47,0))),"")</f>
        <v>10402.56</v>
      </c>
      <c r="C29" s="30" t="n">
        <f aca="false">IFERROR(IF(LARGE('Vendor Master'!$S$8:$S$47,2)&lt;=0,"",INDEX('Vendor Master'!$M$8:$M$47,MATCH(LARGE('Vendor Master'!$S$8:$S$47,2),'Vendor Master'!$S$8:$S$47,0))),"")</f>
        <v>4198.12</v>
      </c>
      <c r="D29" s="36" t="str">
        <f aca="false">IFERROR(IF(LARGE('Vendor Master'!$S$8:$S$47,2)&lt;=0,"",INDEX('Vendor Master'!$R$8:$R$47,MATCH(LARGE('Vendor Master'!$S$8:$S$47,2),'Vendor Master'!$S$8:$S$47,0))),"")</f>
        <v>C</v>
      </c>
      <c r="F29" s="36" t="str">
        <f aca="false">IFERROR(INDEX('Invoice &amp; Delivery Log'!$A$8:$A$157,MATCH(2,'Invoice &amp; Delivery Log'!$Z$8:$Z$157,0)),"")</f>
        <v>INV-1015</v>
      </c>
      <c r="G29" s="28" t="str">
        <f aca="false">IFERROR(INDEX('Invoice &amp; Delivery Log'!$C$8:$C$157,MATCH(2,'Invoice &amp; Delivery Log'!$Z$8:$Z$157,0)),"")</f>
        <v>Northwind Paper Supply</v>
      </c>
      <c r="H29" s="37" t="n">
        <f aca="false">IFERROR(INDEX('Invoice &amp; Delivery Log'!$M$8:$M$157,MATCH(2,'Invoice &amp; Delivery Log'!$Z$8:$Z$157,0)),"")</f>
        <v>46144</v>
      </c>
      <c r="I29" s="30" t="n">
        <f aca="false">IFERROR(INDEX('Invoice &amp; Delivery Log'!$P$8:$P$157,MATCH(2,'Invoice &amp; Delivery Log'!$Z$8:$Z$157,0)),"")</f>
        <v>2483.16</v>
      </c>
    </row>
    <row r="30" customFormat="false" ht="15" hidden="false" customHeight="true" outlineLevel="0" collapsed="false">
      <c r="A30" s="28" t="str">
        <f aca="false">IFERROR(IF(LARGE('Vendor Master'!$S$8:$S$47,3)&lt;=0,"",INDEX('Vendor Master'!$B$8:$B$47,MATCH(LARGE('Vendor Master'!$S$8:$S$47,3),'Vendor Master'!$S$8:$S$47,0))),"")</f>
        <v>Harborline Logistics</v>
      </c>
      <c r="B30" s="30" t="n">
        <f aca="false">IFERROR(IF(LARGE('Vendor Master'!$S$8:$S$47,3)&lt;=0,"",INDEX('Vendor Master'!$L$8:$L$47,MATCH(LARGE('Vendor Master'!$S$8:$S$47,3),'Vendor Master'!$S$8:$S$47,0))),"")</f>
        <v>7891.53</v>
      </c>
      <c r="C30" s="30" t="n">
        <f aca="false">IFERROR(IF(LARGE('Vendor Master'!$S$8:$S$47,3)&lt;=0,"",INDEX('Vendor Master'!$M$8:$M$47,MATCH(LARGE('Vendor Master'!$S$8:$S$47,3),'Vendor Master'!$S$8:$S$47,0))),"")</f>
        <v>7891.53</v>
      </c>
      <c r="D30" s="36" t="str">
        <f aca="false">IFERROR(IF(LARGE('Vendor Master'!$S$8:$S$47,3)&lt;=0,"",INDEX('Vendor Master'!$R$8:$R$47,MATCH(LARGE('Vendor Master'!$S$8:$S$47,3),'Vendor Master'!$S$8:$S$47,0))),"")</f>
        <v>C</v>
      </c>
      <c r="F30" s="36" t="str">
        <f aca="false">IFERROR(INDEX('Invoice &amp; Delivery Log'!$A$8:$A$157,MATCH(3,'Invoice &amp; Delivery Log'!$Z$8:$Z$157,0)),"")</f>
        <v>INV-1010</v>
      </c>
      <c r="G30" s="28" t="str">
        <f aca="false">IFERROR(INDEX('Invoice &amp; Delivery Log'!$C$8:$C$157,MATCH(3,'Invoice &amp; Delivery Log'!$Z$8:$Z$157,0)),"")</f>
        <v>Copperfield Textiles</v>
      </c>
      <c r="H30" s="37" t="n">
        <f aca="false">IFERROR(INDEX('Invoice &amp; Delivery Log'!$M$8:$M$157,MATCH(3,'Invoice &amp; Delivery Log'!$Z$8:$Z$157,0)),"")</f>
        <v>46167</v>
      </c>
      <c r="I30" s="30" t="n">
        <f aca="false">IFERROR(INDEX('Invoice &amp; Delivery Log'!$P$8:$P$157,MATCH(3,'Invoice &amp; Delivery Log'!$Z$8:$Z$157,0)),"")</f>
        <v>9042.96</v>
      </c>
    </row>
    <row r="31" customFormat="false" ht="15" hidden="false" customHeight="true" outlineLevel="0" collapsed="false">
      <c r="A31" s="28" t="str">
        <f aca="false">IFERROR(IF(LARGE('Vendor Master'!$S$8:$S$47,4)&lt;=0,"",INDEX('Vendor Master'!$B$8:$B$47,MATCH(LARGE('Vendor Master'!$S$8:$S$47,4),'Vendor Master'!$S$8:$S$47,0))),"")</f>
        <v>Lakeshore Packaging Group</v>
      </c>
      <c r="B31" s="30" t="n">
        <f aca="false">IFERROR(IF(LARGE('Vendor Master'!$S$8:$S$47,4)&lt;=0,"",INDEX('Vendor Master'!$L$8:$L$47,MATCH(LARGE('Vendor Master'!$S$8:$S$47,4),'Vendor Master'!$S$8:$S$47,0))),"")</f>
        <v>6278.18</v>
      </c>
      <c r="C31" s="30" t="n">
        <f aca="false">IFERROR(IF(LARGE('Vendor Master'!$S$8:$S$47,4)&lt;=0,"",INDEX('Vendor Master'!$M$8:$M$47,MATCH(LARGE('Vendor Master'!$S$8:$S$47,4),'Vendor Master'!$S$8:$S$47,0))),"")</f>
        <v>1941.11</v>
      </c>
      <c r="D31" s="36" t="str">
        <f aca="false">IFERROR(IF(LARGE('Vendor Master'!$S$8:$S$47,4)&lt;=0,"",INDEX('Vendor Master'!$R$8:$R$47,MATCH(LARGE('Vendor Master'!$S$8:$S$47,4),'Vendor Master'!$S$8:$S$47,0))),"")</f>
        <v>A</v>
      </c>
      <c r="F31" s="36" t="str">
        <f aca="false">IFERROR(INDEX('Invoice &amp; Delivery Log'!$A$8:$A$157,MATCH(4,'Invoice &amp; Delivery Log'!$Z$8:$Z$157,0)),"")</f>
        <v>INV-1019</v>
      </c>
      <c r="G31" s="28" t="str">
        <f aca="false">IFERROR(INDEX('Invoice &amp; Delivery Log'!$C$8:$C$157,MATCH(4,'Invoice &amp; Delivery Log'!$Z$8:$Z$157,0)),"")</f>
        <v>Harborline Logistics</v>
      </c>
      <c r="H31" s="37" t="n">
        <f aca="false">IFERROR(INDEX('Invoice &amp; Delivery Log'!$M$8:$M$157,MATCH(4,'Invoice &amp; Delivery Log'!$Z$8:$Z$157,0)),"")</f>
        <v>46168</v>
      </c>
      <c r="I31" s="30" t="n">
        <f aca="false">IFERROR(INDEX('Invoice &amp; Delivery Log'!$P$8:$P$157,MATCH(4,'Invoice &amp; Delivery Log'!$Z$8:$Z$157,0)),"")</f>
        <v>767.7</v>
      </c>
    </row>
    <row r="32" customFormat="false" ht="15" hidden="false" customHeight="true" outlineLevel="0" collapsed="false">
      <c r="A32" s="28" t="str">
        <f aca="false">IFERROR(IF(LARGE('Vendor Master'!$S$8:$S$47,5)&lt;=0,"",INDEX('Vendor Master'!$B$8:$B$47,MATCH(LARGE('Vendor Master'!$S$8:$S$47,5),'Vendor Master'!$S$8:$S$47,0))),"")</f>
        <v>Northwind Paper Supply</v>
      </c>
      <c r="B32" s="30" t="n">
        <f aca="false">IFERROR(IF(LARGE('Vendor Master'!$S$8:$S$47,5)&lt;=0,"",INDEX('Vendor Master'!$L$8:$L$47,MATCH(LARGE('Vendor Master'!$S$8:$S$47,5),'Vendor Master'!$S$8:$S$47,0))),"")</f>
        <v>5176.74</v>
      </c>
      <c r="C32" s="30" t="n">
        <f aca="false">IFERROR(IF(LARGE('Vendor Master'!$S$8:$S$47,5)&lt;=0,"",INDEX('Vendor Master'!$M$8:$M$47,MATCH(LARGE('Vendor Master'!$S$8:$S$47,5),'Vendor Master'!$S$8:$S$47,0))),"")</f>
        <v>4090.42</v>
      </c>
      <c r="D32" s="36" t="str">
        <f aca="false">IFERROR(IF(LARGE('Vendor Master'!$S$8:$S$47,5)&lt;=0,"",INDEX('Vendor Master'!$R$8:$R$47,MATCH(LARGE('Vendor Master'!$S$8:$S$47,5),'Vendor Master'!$S$8:$S$47,0))),"")</f>
        <v>B</v>
      </c>
      <c r="F32" s="36" t="str">
        <f aca="false">IFERROR(INDEX('Invoice &amp; Delivery Log'!$A$8:$A$157,MATCH(5,'Invoice &amp; Delivery Log'!$Z$8:$Z$157,0)),"")</f>
        <v>INV-1024</v>
      </c>
      <c r="G32" s="28" t="str">
        <f aca="false">IFERROR(INDEX('Invoice &amp; Delivery Log'!$C$8:$C$157,MATCH(5,'Invoice &amp; Delivery Log'!$Z$8:$Z$157,0)),"")</f>
        <v>Ironbridge Hardware Co.</v>
      </c>
      <c r="H32" s="37" t="n">
        <f aca="false">IFERROR(INDEX('Invoice &amp; Delivery Log'!$M$8:$M$157,MATCH(5,'Invoice &amp; Delivery Log'!$Z$8:$Z$157,0)),"")</f>
        <v>46186</v>
      </c>
      <c r="I32" s="30" t="n">
        <f aca="false">IFERROR(INDEX('Invoice &amp; Delivery Log'!$P$8:$P$157,MATCH(5,'Invoice &amp; Delivery Log'!$Z$8:$Z$157,0)),"")</f>
        <v>4198.12</v>
      </c>
    </row>
    <row r="34" customFormat="false" ht="19.5" hidden="false" customHeight="true" outlineLevel="0" collapsed="false">
      <c r="A34" s="19" t="s">
        <v>115</v>
      </c>
      <c r="B34" s="19"/>
      <c r="C34" s="19"/>
      <c r="D34" s="19"/>
    </row>
    <row r="35" customFormat="false" ht="24" hidden="false" customHeight="true" outlineLevel="0" collapsed="false">
      <c r="A35" s="27" t="s">
        <v>116</v>
      </c>
      <c r="B35" s="27" t="s">
        <v>117</v>
      </c>
      <c r="C35" s="27" t="s">
        <v>97</v>
      </c>
      <c r="D35" s="27" t="s">
        <v>118</v>
      </c>
    </row>
    <row r="36" customFormat="false" ht="15" hidden="false" customHeight="true" outlineLevel="0" collapsed="false">
      <c r="A36" s="38" t="n">
        <v>46082</v>
      </c>
      <c r="B36" s="30" t="n">
        <f aca="false">SUMIFS('Invoice &amp; Delivery Log'!$N$8:$N$157,'Invoice &amp; Delivery Log'!$H$8:$H$157,"&gt;="&amp;$A36,'Invoice &amp; Delivery Log'!$H$8:$H$157,"&lt;="&amp;EOMONTH($A36,0))</f>
        <v>49496.27</v>
      </c>
      <c r="C36" s="30" t="n">
        <f aca="false">SUMIFS('Payments Log'!$F$8:$F$207,'Payments Log'!$E$8:$E$207,"&gt;="&amp;$A36,'Payments Log'!$E$8:$E$207,"&lt;="&amp;EOMONTH($A36,0))</f>
        <v>11300.96</v>
      </c>
      <c r="D36" s="30" t="n">
        <f aca="false">$B36-$C36</f>
        <v>38195.31</v>
      </c>
    </row>
    <row r="37" customFormat="false" ht="15" hidden="false" customHeight="true" outlineLevel="0" collapsed="false">
      <c r="A37" s="38" t="n">
        <v>46113</v>
      </c>
      <c r="B37" s="30" t="n">
        <f aca="false">SUMIFS('Invoice &amp; Delivery Log'!$N$8:$N$157,'Invoice &amp; Delivery Log'!$H$8:$H$157,"&gt;="&amp;$A37,'Invoice &amp; Delivery Log'!$H$8:$H$157,"&lt;="&amp;EOMONTH($A37,0))</f>
        <v>43450.64</v>
      </c>
      <c r="C37" s="30" t="n">
        <f aca="false">SUMIFS('Payments Log'!$F$8:$F$207,'Payments Log'!$E$8:$E$207,"&gt;="&amp;$A37,'Payments Log'!$E$8:$E$207,"&lt;="&amp;EOMONTH($A37,0))</f>
        <v>40062.55</v>
      </c>
      <c r="D37" s="30" t="n">
        <f aca="false">$B37-$C37</f>
        <v>3388.09</v>
      </c>
    </row>
    <row r="38" customFormat="false" ht="15" hidden="false" customHeight="true" outlineLevel="0" collapsed="false">
      <c r="A38" s="38" t="n">
        <v>46143</v>
      </c>
      <c r="B38" s="30" t="n">
        <f aca="false">SUMIFS('Invoice &amp; Delivery Log'!$N$8:$N$157,'Invoice &amp; Delivery Log'!$H$8:$H$157,"&gt;="&amp;$A38,'Invoice &amp; Delivery Log'!$H$8:$H$157,"&lt;="&amp;EOMONTH($A38,0))</f>
        <v>33916.81</v>
      </c>
      <c r="C38" s="30" t="n">
        <f aca="false">SUMIFS('Payments Log'!$F$8:$F$207,'Payments Log'!$E$8:$E$207,"&gt;="&amp;$A38,'Payments Log'!$E$8:$E$207,"&lt;="&amp;EOMONTH($A38,0))</f>
        <v>26867.57</v>
      </c>
      <c r="D38" s="30" t="n">
        <f aca="false">$B38-$C38</f>
        <v>7049.24</v>
      </c>
    </row>
    <row r="39" customFormat="false" ht="15" hidden="false" customHeight="true" outlineLevel="0" collapsed="false">
      <c r="A39" s="38" t="n">
        <v>46174</v>
      </c>
      <c r="B39" s="30" t="n">
        <f aca="false">SUMIFS('Invoice &amp; Delivery Log'!$N$8:$N$157,'Invoice &amp; Delivery Log'!$H$8:$H$157,"&gt;="&amp;$A39,'Invoice &amp; Delivery Log'!$H$8:$H$157,"&lt;="&amp;EOMONTH($A39,0))</f>
        <v>29918.12</v>
      </c>
      <c r="C39" s="30" t="n">
        <f aca="false">SUMIFS('Payments Log'!$F$8:$F$207,'Payments Log'!$E$8:$E$207,"&gt;="&amp;$A39,'Payments Log'!$E$8:$E$207,"&lt;="&amp;EOMONTH($A39,0))</f>
        <v>38431.19</v>
      </c>
      <c r="D39" s="30" t="n">
        <f aca="false">$B39-$C39</f>
        <v>-8513.07</v>
      </c>
    </row>
    <row r="40" customFormat="false" ht="15" hidden="false" customHeight="true" outlineLevel="0" collapsed="false">
      <c r="A40" s="38" t="n">
        <v>46204</v>
      </c>
      <c r="B40" s="30" t="n">
        <f aca="false">SUMIFS('Invoice &amp; Delivery Log'!$N$8:$N$157,'Invoice &amp; Delivery Log'!$H$8:$H$157,"&gt;="&amp;$A40,'Invoice &amp; Delivery Log'!$H$8:$H$157,"&lt;="&amp;EOMONTH($A40,0))</f>
        <v>23033.09</v>
      </c>
      <c r="C40" s="30" t="n">
        <f aca="false">SUMIFS('Payments Log'!$F$8:$F$207,'Payments Log'!$E$8:$E$207,"&gt;="&amp;$A40,'Payments Log'!$E$8:$E$207,"&lt;="&amp;EOMONTH($A40,0))</f>
        <v>22048.71</v>
      </c>
      <c r="D40" s="30" t="n">
        <f aca="false">$B40-$C40</f>
        <v>984.380000000001</v>
      </c>
    </row>
    <row r="41" customFormat="false" ht="15" hidden="false" customHeight="true" outlineLevel="0" collapsed="false">
      <c r="A41" s="38" t="n">
        <v>46235</v>
      </c>
      <c r="B41" s="30" t="n">
        <f aca="false">SUMIFS('Invoice &amp; Delivery Log'!$N$8:$N$157,'Invoice &amp; Delivery Log'!$H$8:$H$157,"&gt;="&amp;$A41,'Invoice &amp; Delivery Log'!$H$8:$H$157,"&lt;="&amp;EOMONTH($A41,0))</f>
        <v>19263.63</v>
      </c>
      <c r="C41" s="30" t="n">
        <f aca="false">SUMIFS('Payments Log'!$F$8:$F$207,'Payments Log'!$E$8:$E$207,"&gt;="&amp;$A41,'Payments Log'!$E$8:$E$207,"&lt;="&amp;EOMONTH($A41,0))</f>
        <v>11095.77</v>
      </c>
      <c r="D41" s="30" t="n">
        <f aca="false">$B41-$C41</f>
        <v>8167.86</v>
      </c>
    </row>
    <row r="42" customFormat="false" ht="15" hidden="false" customHeight="true" outlineLevel="0" collapsed="false">
      <c r="A42" s="38" t="n">
        <v>46266</v>
      </c>
      <c r="B42" s="30" t="n">
        <f aca="false">SUMIFS('Invoice &amp; Delivery Log'!$N$8:$N$157,'Invoice &amp; Delivery Log'!$H$8:$H$157,"&gt;="&amp;$A42,'Invoice &amp; Delivery Log'!$H$8:$H$157,"&lt;="&amp;EOMONTH($A42,0))</f>
        <v>3330.15</v>
      </c>
      <c r="C42" s="30" t="n">
        <f aca="false">SUMIFS('Payments Log'!$F$8:$F$207,'Payments Log'!$E$8:$E$207,"&gt;="&amp;$A42,'Payments Log'!$E$8:$E$207,"&lt;="&amp;EOMONTH($A42,0))</f>
        <v>838.24</v>
      </c>
      <c r="D42" s="30" t="n">
        <f aca="false">$B42-$C42</f>
        <v>2491.91</v>
      </c>
    </row>
    <row r="43" customFormat="false" ht="15" hidden="false" customHeight="true" outlineLevel="0" collapsed="false">
      <c r="A43" s="32" t="s">
        <v>119</v>
      </c>
      <c r="B43" s="39" t="n">
        <f aca="false">SUM($B$36:$B$42)</f>
        <v>202408.71</v>
      </c>
      <c r="C43" s="39" t="n">
        <f aca="false">SUM($C$36:$C$42)</f>
        <v>150644.99</v>
      </c>
      <c r="D43" s="39" t="n">
        <f aca="false">SUM($D$36:$D$42)</f>
        <v>51763.72</v>
      </c>
    </row>
    <row r="45" customFormat="false" ht="15" hidden="false" customHeight="true" outlineLevel="0" collapsed="false">
      <c r="A45" s="40" t="s">
        <v>120</v>
      </c>
    </row>
  </sheetData>
  <mergeCells count="33">
    <mergeCell ref="A1:I1"/>
    <mergeCell ref="A2:I2"/>
    <mergeCell ref="A4:I4"/>
    <mergeCell ref="A5:B5"/>
    <mergeCell ref="C5:D5"/>
    <mergeCell ref="F5:G5"/>
    <mergeCell ref="H5:I5"/>
    <mergeCell ref="A6:B6"/>
    <mergeCell ref="C6:D6"/>
    <mergeCell ref="F6:G6"/>
    <mergeCell ref="H6:I6"/>
    <mergeCell ref="A7:B7"/>
    <mergeCell ref="C7:D7"/>
    <mergeCell ref="F7:G7"/>
    <mergeCell ref="H7:I7"/>
    <mergeCell ref="A9:B9"/>
    <mergeCell ref="C9:D9"/>
    <mergeCell ref="F9:G9"/>
    <mergeCell ref="H9:I9"/>
    <mergeCell ref="A10:B10"/>
    <mergeCell ref="C10:D10"/>
    <mergeCell ref="F10:G10"/>
    <mergeCell ref="H10:I10"/>
    <mergeCell ref="A11:B11"/>
    <mergeCell ref="C11:D11"/>
    <mergeCell ref="F11:G11"/>
    <mergeCell ref="H11:I11"/>
    <mergeCell ref="A13:I13"/>
    <mergeCell ref="A15:D15"/>
    <mergeCell ref="F15:I15"/>
    <mergeCell ref="A26:D26"/>
    <mergeCell ref="F26:I26"/>
    <mergeCell ref="A34:D34"/>
  </mergeCells>
  <conditionalFormatting sqref="A13:I13">
    <cfRule type="expression" priority="2" aboveAverage="0" equalAverage="0" bottom="0" percent="0" rank="0" text="" dxfId="0">
      <formula>COUNTIF('Data Quality &amp; Reconciliation'!$F$8:$F$17,"FAIL")&gt;0</formula>
    </cfRule>
    <cfRule type="expression" priority="3" aboveAverage="0" equalAverage="0" bottom="0" percent="0" rank="0" text="" dxfId="1">
      <formula>AND(COUNTIF('Data Quality &amp; Reconciliation'!$F$8:$F$17,"FAIL")=0,(COUNTIF('Invoice &amp; Delivery Log'!$W$8:$W$157,"REVIEW")+COUNTIF('Payments Log'!$Q$8:$Q$207,"REVIEW"))&gt;0)</formula>
    </cfRule>
  </conditionalFormatting>
  <conditionalFormatting sqref="A17:D23">
    <cfRule type="expression" priority="4" aboveAverage="0" equalAverage="0" bottom="0" percent="0" rank="0" text="" dxfId="2">
      <formula>AND($A17&lt;&gt;"Not Due Yet",$A17&lt;&gt;"No Due Date",$A17&lt;&gt;"Supplier Credit",N($C17)&gt;0)</formula>
    </cfRule>
    <cfRule type="expression" priority="5" aboveAverage="0" equalAverage="0" bottom="0" percent="0" rank="0" text="" dxfId="3">
      <formula>$A17="Supplier Credit"</formula>
    </cfRule>
  </conditionalFormatting>
  <conditionalFormatting sqref="F17:I23">
    <cfRule type="expression" priority="6" aboveAverage="0" equalAverage="0" bottom="0" percent="0" rank="0" text="" dxfId="4">
      <formula>$F17="Paid"</formula>
    </cfRule>
    <cfRule type="expression" priority="7" aboveAverage="0" equalAverage="0" bottom="0" percent="0" rank="0" text="" dxfId="2">
      <formula>OR($F17="Overpaid",$F17="Check Amount")</formula>
    </cfRule>
  </conditionalFormatting>
  <conditionalFormatting sqref="A28:D32">
    <cfRule type="expression" priority="8" aboveAverage="0" equalAverage="0" bottom="0" percent="0" rank="0" text="" dxfId="2">
      <formula>N($C28)&gt;0</formula>
    </cfRule>
  </conditionalFormatting>
  <conditionalFormatting sqref="F28:I32">
    <cfRule type="expression" priority="9" aboveAverage="0" equalAverage="0" bottom="0" percent="0" rank="0" text="" dxfId="5">
      <formula>AND($H28&lt;&gt;"",$H28&lt;Settings!$C$5)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VendorFlow — Supplier Invoice, Payment &amp;&amp; Performance System&amp;R&amp;8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A88"/>
    <pageSetUpPr fitToPage="true"/>
  </sheetPr>
  <dimension ref="A1:S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8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34"/>
    <col collapsed="false" customWidth="true" hidden="false" outlineLevel="0" max="6" min="6" style="1" width="15"/>
    <col collapsed="false" customWidth="true" hidden="false" outlineLevel="0" max="8" min="7" style="1" width="11"/>
    <col collapsed="false" customWidth="true" hidden="false" outlineLevel="0" max="9" min="9" style="1" width="9"/>
    <col collapsed="false" customWidth="true" hidden="false" outlineLevel="0" max="13" min="10" style="1" width="14"/>
    <col collapsed="false" customWidth="true" hidden="false" outlineLevel="0" max="15" min="14" style="1" width="13"/>
    <col collapsed="false" customWidth="true" hidden="false" outlineLevel="0" max="17" min="16" style="1" width="12"/>
    <col collapsed="false" customWidth="true" hidden="false" outlineLevel="0" max="18" min="18" style="1" width="13"/>
    <col collapsed="false" customWidth="true" hidden="true" outlineLevel="0" max="19" min="19" style="1" width="13"/>
  </cols>
  <sheetData>
    <row r="1" customFormat="false" ht="30" hidden="false" customHeight="true" outlineLevel="0" collapsed="false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8" hidden="false" customHeight="true" outlineLevel="0" collapsed="false">
      <c r="A2" s="3" t="s">
        <v>121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4" customFormat="false" ht="15" hidden="false" customHeight="true" outlineLevel="0" collapsed="false">
      <c r="A4" s="41" t="s">
        <v>122</v>
      </c>
    </row>
    <row r="5" customFormat="false" ht="15" hidden="false" customHeight="true" outlineLevel="0" collapsed="false">
      <c r="A5" s="40" t="s">
        <v>123</v>
      </c>
    </row>
    <row r="7" customFormat="false" ht="31.5" hidden="false" customHeight="true" outlineLevel="0" collapsed="false">
      <c r="A7" s="42" t="s">
        <v>124</v>
      </c>
      <c r="B7" s="42" t="s">
        <v>109</v>
      </c>
      <c r="C7" s="42" t="s">
        <v>125</v>
      </c>
      <c r="D7" s="42" t="s">
        <v>126</v>
      </c>
      <c r="E7" s="42" t="s">
        <v>127</v>
      </c>
      <c r="F7" s="42" t="s">
        <v>128</v>
      </c>
      <c r="G7" s="42" t="s">
        <v>129</v>
      </c>
      <c r="H7" s="42" t="s">
        <v>130</v>
      </c>
      <c r="I7" s="43" t="s">
        <v>86</v>
      </c>
      <c r="J7" s="43" t="s">
        <v>131</v>
      </c>
      <c r="K7" s="43" t="s">
        <v>132</v>
      </c>
      <c r="L7" s="43" t="s">
        <v>133</v>
      </c>
      <c r="M7" s="43" t="s">
        <v>134</v>
      </c>
      <c r="N7" s="43" t="s">
        <v>135</v>
      </c>
      <c r="O7" s="43" t="s">
        <v>136</v>
      </c>
      <c r="P7" s="43" t="s">
        <v>137</v>
      </c>
      <c r="Q7" s="43" t="s">
        <v>138</v>
      </c>
      <c r="R7" s="43" t="s">
        <v>139</v>
      </c>
      <c r="S7" s="43" t="s">
        <v>140</v>
      </c>
    </row>
    <row r="8" customFormat="false" ht="15" hidden="false" customHeight="true" outlineLevel="0" collapsed="false">
      <c r="A8" s="44" t="s">
        <v>141</v>
      </c>
      <c r="B8" s="45" t="s">
        <v>142</v>
      </c>
      <c r="C8" s="45" t="s">
        <v>143</v>
      </c>
      <c r="D8" s="45" t="s">
        <v>144</v>
      </c>
      <c r="E8" s="45" t="s">
        <v>145</v>
      </c>
      <c r="F8" s="45" t="s">
        <v>146</v>
      </c>
      <c r="G8" s="46" t="n">
        <v>30</v>
      </c>
      <c r="H8" s="44" t="s">
        <v>147</v>
      </c>
      <c r="I8" s="29" t="n">
        <f aca="false">IF($A8="","",COUNTIFS('Invoice &amp; Delivery Log'!$B$8:$B$157,$A8))</f>
        <v>6</v>
      </c>
      <c r="J8" s="30" t="n">
        <f aca="false">IF($A8="","",SUMIFS('Invoice &amp; Delivery Log'!$N$8:$N$157,'Invoice &amp; Delivery Log'!$B$8:$B$157,$A8))</f>
        <v>8999.05</v>
      </c>
      <c r="K8" s="30" t="n">
        <f aca="false">IF($A8="","",SUMIFS('Invoice &amp; Delivery Log'!$O$8:$O$157,'Invoice &amp; Delivery Log'!$B$8:$B$157,$A8))</f>
        <v>3822.31</v>
      </c>
      <c r="L8" s="30" t="n">
        <f aca="false">IF($A8="","",SUMIFS('Invoice &amp; Delivery Log'!$P$8:$P$157,'Invoice &amp; Delivery Log'!$B$8:$B$157,$A8))</f>
        <v>5176.74</v>
      </c>
      <c r="M8" s="30" t="n">
        <f aca="false">IF($A8="","",SUMIFS('Invoice &amp; Delivery Log'!$S$8:$S$157,'Invoice &amp; Delivery Log'!$B$8:$B$157,$A8))</f>
        <v>4090.42</v>
      </c>
      <c r="N8" s="31" t="n">
        <f aca="false">IF($A8="","",IFERROR(COUNTIFS('Invoice &amp; Delivery Log'!$B$8:$B$157,$A8,'Invoice &amp; Delivery Log'!$V$8:$V$157,"On Time")/(COUNTIFS('Invoice &amp; Delivery Log'!$B$8:$B$157,$A8,'Invoice &amp; Delivery Log'!$V$8:$V$157,"On Time")+COUNTIFS('Invoice &amp; Delivery Log'!$B$8:$B$157,$A8,'Invoice &amp; Delivery Log'!$V$8:$V$157,"Late")),""))</f>
        <v>0.833333333333333</v>
      </c>
      <c r="O8" s="31" t="n">
        <f aca="false">IF($A8="","",IFERROR(COUNTIFS('Invoice &amp; Delivery Log'!$B$8:$B$157,$A8,'Invoice &amp; Delivery Log'!$K$8:$K$157,"Received in Full")/$I8,""))</f>
        <v>0.833333333333333</v>
      </c>
      <c r="P8" s="47" t="n">
        <f aca="false">IF($A8="","",IFERROR(ROUND(AVERAGEIFS('Payments Log'!$L$8:$L$207,'Payments Log'!$C$8:$C$207,$A8,'Payments Log'!$L$8:$L$207,"&gt;=0"),0),""))</f>
        <v>21</v>
      </c>
      <c r="Q8" s="31" t="n">
        <f aca="false">IF(OR($A8="",$I8=0),"",Settings!$C$14*IF($N8="",0,$N8)+Settings!$C$15*IF($O8="",0,$O8))</f>
        <v>0.833333333333333</v>
      </c>
      <c r="R8" s="36" t="str">
        <f aca="false">IF($Q8="","",IF($Q8&gt;=Settings!$C$17,"A",IF($Q8&gt;=Settings!$C$18,"B",IF($Q8&gt;=Settings!$C$19,"C","D"))))</f>
        <v>B</v>
      </c>
      <c r="S8" s="48" t="n">
        <f aca="false">IF($A8="","",$L8+ROW()/1000000)</f>
        <v>5176.740008</v>
      </c>
    </row>
    <row r="9" customFormat="false" ht="15" hidden="false" customHeight="true" outlineLevel="0" collapsed="false">
      <c r="A9" s="44" t="s">
        <v>148</v>
      </c>
      <c r="B9" s="45" t="s">
        <v>149</v>
      </c>
      <c r="C9" s="45" t="s">
        <v>150</v>
      </c>
      <c r="D9" s="45" t="s">
        <v>151</v>
      </c>
      <c r="E9" s="45" t="s">
        <v>152</v>
      </c>
      <c r="F9" s="45" t="s">
        <v>153</v>
      </c>
      <c r="G9" s="46" t="n">
        <v>15</v>
      </c>
      <c r="H9" s="44" t="s">
        <v>147</v>
      </c>
      <c r="I9" s="49" t="n">
        <f aca="false">IF($A9="","",COUNTIFS('Invoice &amp; Delivery Log'!$B$8:$B$157,$A9))</f>
        <v>6</v>
      </c>
      <c r="J9" s="50" t="n">
        <f aca="false">IF($A9="","",SUMIFS('Invoice &amp; Delivery Log'!$N$8:$N$157,'Invoice &amp; Delivery Log'!$B$8:$B$157,$A9))</f>
        <v>16224.28</v>
      </c>
      <c r="K9" s="50" t="n">
        <f aca="false">IF($A9="","",SUMIFS('Invoice &amp; Delivery Log'!$O$8:$O$157,'Invoice &amp; Delivery Log'!$B$8:$B$157,$A9))</f>
        <v>14304.51</v>
      </c>
      <c r="L9" s="50" t="n">
        <f aca="false">IF($A9="","",SUMIFS('Invoice &amp; Delivery Log'!$P$8:$P$157,'Invoice &amp; Delivery Log'!$B$8:$B$157,$A9))</f>
        <v>1919.77</v>
      </c>
      <c r="M9" s="50" t="n">
        <f aca="false">IF($A9="","",SUMIFS('Invoice &amp; Delivery Log'!$S$8:$S$157,'Invoice &amp; Delivery Log'!$B$8:$B$157,$A9))</f>
        <v>1919.77</v>
      </c>
      <c r="N9" s="51" t="n">
        <f aca="false">IF($A9="","",IFERROR(COUNTIFS('Invoice &amp; Delivery Log'!$B$8:$B$157,$A9,'Invoice &amp; Delivery Log'!$V$8:$V$157,"On Time")/(COUNTIFS('Invoice &amp; Delivery Log'!$B$8:$B$157,$A9,'Invoice &amp; Delivery Log'!$V$8:$V$157,"On Time")+COUNTIFS('Invoice &amp; Delivery Log'!$B$8:$B$157,$A9,'Invoice &amp; Delivery Log'!$V$8:$V$157,"Late")),""))</f>
        <v>0.833333333333333</v>
      </c>
      <c r="O9" s="51" t="n">
        <f aca="false">IF($A9="","",IFERROR(COUNTIFS('Invoice &amp; Delivery Log'!$B$8:$B$157,$A9,'Invoice &amp; Delivery Log'!$K$8:$K$157,"Received in Full")/$I9,""))</f>
        <v>0.5</v>
      </c>
      <c r="P9" s="52" t="n">
        <f aca="false">IF($A9="","",IFERROR(ROUND(AVERAGEIFS('Payments Log'!$L$8:$L$207,'Payments Log'!$C$8:$C$207,$A9,'Payments Log'!$L$8:$L$207,"&gt;=0"),0),""))</f>
        <v>10</v>
      </c>
      <c r="Q9" s="51" t="n">
        <f aca="false">IF(OR($A9="",$I9=0),"",Settings!$C$14*IF($N9="",0,$N9)+Settings!$C$15*IF($O9="",0,$O9))</f>
        <v>0.7</v>
      </c>
      <c r="R9" s="53" t="str">
        <f aca="false">IF($Q9="","",IF($Q9&gt;=Settings!$C$17,"A",IF($Q9&gt;=Settings!$C$18,"B",IF($Q9&gt;=Settings!$C$19,"C","D"))))</f>
        <v>C</v>
      </c>
      <c r="S9" s="54" t="n">
        <f aca="false">IF($A9="","",$L9+ROW()/1000000)</f>
        <v>1919.770009</v>
      </c>
    </row>
    <row r="10" customFormat="false" ht="15" hidden="false" customHeight="true" outlineLevel="0" collapsed="false">
      <c r="A10" s="44" t="s">
        <v>154</v>
      </c>
      <c r="B10" s="45" t="s">
        <v>155</v>
      </c>
      <c r="C10" s="45" t="s">
        <v>156</v>
      </c>
      <c r="D10" s="45" t="s">
        <v>157</v>
      </c>
      <c r="E10" s="45" t="s">
        <v>158</v>
      </c>
      <c r="F10" s="45" t="s">
        <v>159</v>
      </c>
      <c r="G10" s="46" t="n">
        <v>45</v>
      </c>
      <c r="H10" s="44" t="s">
        <v>147</v>
      </c>
      <c r="I10" s="29" t="n">
        <f aca="false">IF($A10="","",COUNTIFS('Invoice &amp; Delivery Log'!$B$8:$B$157,$A10))</f>
        <v>5</v>
      </c>
      <c r="J10" s="30" t="n">
        <f aca="false">IF($A10="","",SUMIFS('Invoice &amp; Delivery Log'!$N$8:$N$157,'Invoice &amp; Delivery Log'!$B$8:$B$157,$A10))</f>
        <v>16426.14</v>
      </c>
      <c r="K10" s="30" t="n">
        <f aca="false">IF($A10="","",SUMIFS('Invoice &amp; Delivery Log'!$O$8:$O$157,'Invoice &amp; Delivery Log'!$B$8:$B$157,$A10))</f>
        <v>6023.58</v>
      </c>
      <c r="L10" s="30" t="n">
        <f aca="false">IF($A10="","",SUMIFS('Invoice &amp; Delivery Log'!$P$8:$P$157,'Invoice &amp; Delivery Log'!$B$8:$B$157,$A10))</f>
        <v>10402.56</v>
      </c>
      <c r="M10" s="30" t="n">
        <f aca="false">IF($A10="","",SUMIFS('Invoice &amp; Delivery Log'!$S$8:$S$157,'Invoice &amp; Delivery Log'!$B$8:$B$157,$A10))</f>
        <v>4198.12</v>
      </c>
      <c r="N10" s="31" t="n">
        <f aca="false">IF($A10="","",IFERROR(COUNTIFS('Invoice &amp; Delivery Log'!$B$8:$B$157,$A10,'Invoice &amp; Delivery Log'!$V$8:$V$157,"On Time")/(COUNTIFS('Invoice &amp; Delivery Log'!$B$8:$B$157,$A10,'Invoice &amp; Delivery Log'!$V$8:$V$157,"On Time")+COUNTIFS('Invoice &amp; Delivery Log'!$B$8:$B$157,$A10,'Invoice &amp; Delivery Log'!$V$8:$V$157,"Late")),""))</f>
        <v>0.6</v>
      </c>
      <c r="O10" s="31" t="n">
        <f aca="false">IF($A10="","",IFERROR(COUNTIFS('Invoice &amp; Delivery Log'!$B$8:$B$157,$A10,'Invoice &amp; Delivery Log'!$K$8:$K$157,"Received in Full")/$I10,""))</f>
        <v>1</v>
      </c>
      <c r="P10" s="47" t="n">
        <f aca="false">IF($A10="","",IFERROR(ROUND(AVERAGEIFS('Payments Log'!$L$8:$L$207,'Payments Log'!$C$8:$C$207,$A10,'Payments Log'!$L$8:$L$207,"&gt;=0"),0),""))</f>
        <v>8</v>
      </c>
      <c r="Q10" s="31" t="n">
        <f aca="false">IF(OR($A10="",$I10=0),"",Settings!$C$14*IF($N10="",0,$N10)+Settings!$C$15*IF($O10="",0,$O10))</f>
        <v>0.76</v>
      </c>
      <c r="R10" s="36" t="str">
        <f aca="false">IF($Q10="","",IF($Q10&gt;=Settings!$C$17,"A",IF($Q10&gt;=Settings!$C$18,"B",IF($Q10&gt;=Settings!$C$19,"C","D"))))</f>
        <v>C</v>
      </c>
      <c r="S10" s="48" t="n">
        <f aca="false">IF($A10="","",$L10+ROW()/1000000)</f>
        <v>10402.56001</v>
      </c>
    </row>
    <row r="11" customFormat="false" ht="15" hidden="false" customHeight="true" outlineLevel="0" collapsed="false">
      <c r="A11" s="44" t="s">
        <v>160</v>
      </c>
      <c r="B11" s="45" t="s">
        <v>161</v>
      </c>
      <c r="C11" s="45" t="s">
        <v>162</v>
      </c>
      <c r="D11" s="45" t="s">
        <v>163</v>
      </c>
      <c r="E11" s="45" t="s">
        <v>164</v>
      </c>
      <c r="F11" s="45" t="s">
        <v>165</v>
      </c>
      <c r="G11" s="46" t="n">
        <v>30</v>
      </c>
      <c r="H11" s="44" t="s">
        <v>147</v>
      </c>
      <c r="I11" s="49" t="n">
        <f aca="false">IF($A11="","",COUNTIFS('Invoice &amp; Delivery Log'!$B$8:$B$157,$A11))</f>
        <v>7</v>
      </c>
      <c r="J11" s="50" t="n">
        <f aca="false">IF($A11="","",SUMIFS('Invoice &amp; Delivery Log'!$N$8:$N$157,'Invoice &amp; Delivery Log'!$B$8:$B$157,$A11))</f>
        <v>28514.87</v>
      </c>
      <c r="K11" s="50" t="n">
        <f aca="false">IF($A11="","",SUMIFS('Invoice &amp; Delivery Log'!$O$8:$O$157,'Invoice &amp; Delivery Log'!$B$8:$B$157,$A11))</f>
        <v>22236.69</v>
      </c>
      <c r="L11" s="50" t="n">
        <f aca="false">IF($A11="","",SUMIFS('Invoice &amp; Delivery Log'!$P$8:$P$157,'Invoice &amp; Delivery Log'!$B$8:$B$157,$A11))</f>
        <v>6278.18</v>
      </c>
      <c r="M11" s="50" t="n">
        <f aca="false">IF($A11="","",SUMIFS('Invoice &amp; Delivery Log'!$S$8:$S$157,'Invoice &amp; Delivery Log'!$B$8:$B$157,$A11))</f>
        <v>1941.11</v>
      </c>
      <c r="N11" s="51" t="n">
        <f aca="false">IF($A11="","",IFERROR(COUNTIFS('Invoice &amp; Delivery Log'!$B$8:$B$157,$A11,'Invoice &amp; Delivery Log'!$V$8:$V$157,"On Time")/(COUNTIFS('Invoice &amp; Delivery Log'!$B$8:$B$157,$A11,'Invoice &amp; Delivery Log'!$V$8:$V$157,"On Time")+COUNTIFS('Invoice &amp; Delivery Log'!$B$8:$B$157,$A11,'Invoice &amp; Delivery Log'!$V$8:$V$157,"Late")),""))</f>
        <v>1</v>
      </c>
      <c r="O11" s="51" t="n">
        <f aca="false">IF($A11="","",IFERROR(COUNTIFS('Invoice &amp; Delivery Log'!$B$8:$B$157,$A11,'Invoice &amp; Delivery Log'!$K$8:$K$157,"Received in Full")/$I11,""))</f>
        <v>1</v>
      </c>
      <c r="P11" s="52" t="n">
        <f aca="false">IF($A11="","",IFERROR(ROUND(AVERAGEIFS('Payments Log'!$L$8:$L$207,'Payments Log'!$C$8:$C$207,$A11,'Payments Log'!$L$8:$L$207,"&gt;=0"),0),""))</f>
        <v>16</v>
      </c>
      <c r="Q11" s="51" t="n">
        <f aca="false">IF(OR($A11="",$I11=0),"",Settings!$C$14*IF($N11="",0,$N11)+Settings!$C$15*IF($O11="",0,$O11))</f>
        <v>1</v>
      </c>
      <c r="R11" s="53" t="str">
        <f aca="false">IF($Q11="","",IF($Q11&gt;=Settings!$C$17,"A",IF($Q11&gt;=Settings!$C$18,"B",IF($Q11&gt;=Settings!$C$19,"C","D"))))</f>
        <v>A</v>
      </c>
      <c r="S11" s="54" t="n">
        <f aca="false">IF($A11="","",$L11+ROW()/1000000)</f>
        <v>6278.180011</v>
      </c>
    </row>
    <row r="12" customFormat="false" ht="15" hidden="false" customHeight="true" outlineLevel="0" collapsed="false">
      <c r="A12" s="44" t="s">
        <v>166</v>
      </c>
      <c r="B12" s="45" t="s">
        <v>167</v>
      </c>
      <c r="C12" s="45" t="s">
        <v>168</v>
      </c>
      <c r="D12" s="45" t="s">
        <v>169</v>
      </c>
      <c r="E12" s="45" t="s">
        <v>170</v>
      </c>
      <c r="F12" s="45" t="s">
        <v>171</v>
      </c>
      <c r="G12" s="46" t="n">
        <v>14</v>
      </c>
      <c r="H12" s="44" t="s">
        <v>147</v>
      </c>
      <c r="I12" s="29" t="n">
        <f aca="false">IF($A12="","",COUNTIFS('Invoice &amp; Delivery Log'!$B$8:$B$157,$A12))</f>
        <v>7</v>
      </c>
      <c r="J12" s="30" t="n">
        <f aca="false">IF($A12="","",SUMIFS('Invoice &amp; Delivery Log'!$N$8:$N$157,'Invoice &amp; Delivery Log'!$B$8:$B$157,$A12))</f>
        <v>11595.55</v>
      </c>
      <c r="K12" s="30" t="n">
        <f aca="false">IF($A12="","",SUMIFS('Invoice &amp; Delivery Log'!$O$8:$O$157,'Invoice &amp; Delivery Log'!$B$8:$B$157,$A12))</f>
        <v>11595.55</v>
      </c>
      <c r="L12" s="30" t="n">
        <f aca="false">IF($A12="","",SUMIFS('Invoice &amp; Delivery Log'!$P$8:$P$157,'Invoice &amp; Delivery Log'!$B$8:$B$157,$A12))</f>
        <v>0</v>
      </c>
      <c r="M12" s="30" t="n">
        <f aca="false">IF($A12="","",SUMIFS('Invoice &amp; Delivery Log'!$S$8:$S$157,'Invoice &amp; Delivery Log'!$B$8:$B$157,$A12))</f>
        <v>0</v>
      </c>
      <c r="N12" s="31" t="n">
        <f aca="false">IF($A12="","",IFERROR(COUNTIFS('Invoice &amp; Delivery Log'!$B$8:$B$157,$A12,'Invoice &amp; Delivery Log'!$V$8:$V$157,"On Time")/(COUNTIFS('Invoice &amp; Delivery Log'!$B$8:$B$157,$A12,'Invoice &amp; Delivery Log'!$V$8:$V$157,"On Time")+COUNTIFS('Invoice &amp; Delivery Log'!$B$8:$B$157,$A12,'Invoice &amp; Delivery Log'!$V$8:$V$157,"Late")),""))</f>
        <v>0.714285714285714</v>
      </c>
      <c r="O12" s="31" t="n">
        <f aca="false">IF($A12="","",IFERROR(COUNTIFS('Invoice &amp; Delivery Log'!$B$8:$B$157,$A12,'Invoice &amp; Delivery Log'!$K$8:$K$157,"Received in Full")/$I12,""))</f>
        <v>0.857142857142857</v>
      </c>
      <c r="P12" s="47" t="n">
        <f aca="false">IF($A12="","",IFERROR(ROUND(AVERAGEIFS('Payments Log'!$L$8:$L$207,'Payments Log'!$C$8:$C$207,$A12,'Payments Log'!$L$8:$L$207,"&gt;=0"),0),""))</f>
        <v>9</v>
      </c>
      <c r="Q12" s="31" t="n">
        <f aca="false">IF(OR($A12="",$I12=0),"",Settings!$C$14*IF($N12="",0,$N12)+Settings!$C$15*IF($O12="",0,$O12))</f>
        <v>0.771428571428571</v>
      </c>
      <c r="R12" s="36" t="str">
        <f aca="false">IF($Q12="","",IF($Q12&gt;=Settings!$C$17,"A",IF($Q12&gt;=Settings!$C$18,"B",IF($Q12&gt;=Settings!$C$19,"C","D"))))</f>
        <v>C</v>
      </c>
      <c r="S12" s="48" t="n">
        <f aca="false">IF($A12="","",$L12+ROW()/1000000)</f>
        <v>1.2E-005</v>
      </c>
    </row>
    <row r="13" customFormat="false" ht="15" hidden="false" customHeight="true" outlineLevel="0" collapsed="false">
      <c r="A13" s="44" t="s">
        <v>172</v>
      </c>
      <c r="B13" s="45" t="s">
        <v>173</v>
      </c>
      <c r="C13" s="45" t="s">
        <v>174</v>
      </c>
      <c r="D13" s="45" t="s">
        <v>175</v>
      </c>
      <c r="E13" s="45" t="s">
        <v>176</v>
      </c>
      <c r="F13" s="45" t="s">
        <v>177</v>
      </c>
      <c r="G13" s="46" t="n">
        <v>30</v>
      </c>
      <c r="H13" s="44" t="s">
        <v>147</v>
      </c>
      <c r="I13" s="49" t="n">
        <f aca="false">IF($A13="","",COUNTIFS('Invoice &amp; Delivery Log'!$B$8:$B$157,$A13))</f>
        <v>10</v>
      </c>
      <c r="J13" s="50" t="n">
        <f aca="false">IF($A13="","",SUMIFS('Invoice &amp; Delivery Log'!$N$8:$N$157,'Invoice &amp; Delivery Log'!$B$8:$B$157,$A13))</f>
        <v>35790.13</v>
      </c>
      <c r="K13" s="50" t="n">
        <f aca="false">IF($A13="","",SUMIFS('Invoice &amp; Delivery Log'!$O$8:$O$157,'Invoice &amp; Delivery Log'!$B$8:$B$157,$A13))</f>
        <v>27898.6</v>
      </c>
      <c r="L13" s="50" t="n">
        <f aca="false">IF($A13="","",SUMIFS('Invoice &amp; Delivery Log'!$P$8:$P$157,'Invoice &amp; Delivery Log'!$B$8:$B$157,$A13))</f>
        <v>7891.53</v>
      </c>
      <c r="M13" s="50" t="n">
        <f aca="false">IF($A13="","",SUMIFS('Invoice &amp; Delivery Log'!$S$8:$S$157,'Invoice &amp; Delivery Log'!$B$8:$B$157,$A13))</f>
        <v>7891.53</v>
      </c>
      <c r="N13" s="51" t="n">
        <f aca="false">IF($A13="","",IFERROR(COUNTIFS('Invoice &amp; Delivery Log'!$B$8:$B$157,$A13,'Invoice &amp; Delivery Log'!$V$8:$V$157,"On Time")/(COUNTIFS('Invoice &amp; Delivery Log'!$B$8:$B$157,$A13,'Invoice &amp; Delivery Log'!$V$8:$V$157,"On Time")+COUNTIFS('Invoice &amp; Delivery Log'!$B$8:$B$157,$A13,'Invoice &amp; Delivery Log'!$V$8:$V$157,"Late")),""))</f>
        <v>0.6</v>
      </c>
      <c r="O13" s="51" t="n">
        <f aca="false">IF($A13="","",IFERROR(COUNTIFS('Invoice &amp; Delivery Log'!$B$8:$B$157,$A13,'Invoice &amp; Delivery Log'!$K$8:$K$157,"Received in Full")/$I13,""))</f>
        <v>0.9</v>
      </c>
      <c r="P13" s="52" t="n">
        <f aca="false">IF($A13="","",IFERROR(ROUND(AVERAGEIFS('Payments Log'!$L$8:$L$207,'Payments Log'!$C$8:$C$207,$A13,'Payments Log'!$L$8:$L$207,"&gt;=0"),0),""))</f>
        <v>22</v>
      </c>
      <c r="Q13" s="51" t="n">
        <f aca="false">IF(OR($A13="",$I13=0),"",Settings!$C$14*IF($N13="",0,$N13)+Settings!$C$15*IF($O13="",0,$O13))</f>
        <v>0.72</v>
      </c>
      <c r="R13" s="53" t="str">
        <f aca="false">IF($Q13="","",IF($Q13&gt;=Settings!$C$17,"A",IF($Q13&gt;=Settings!$C$18,"B",IF($Q13&gt;=Settings!$C$19,"C","D"))))</f>
        <v>C</v>
      </c>
      <c r="S13" s="54" t="n">
        <f aca="false">IF($A13="","",$L13+ROW()/1000000)</f>
        <v>7891.530013</v>
      </c>
    </row>
    <row r="14" customFormat="false" ht="15" hidden="false" customHeight="true" outlineLevel="0" collapsed="false">
      <c r="A14" s="44" t="s">
        <v>178</v>
      </c>
      <c r="B14" s="45" t="s">
        <v>179</v>
      </c>
      <c r="C14" s="45" t="s">
        <v>180</v>
      </c>
      <c r="D14" s="45" t="s">
        <v>181</v>
      </c>
      <c r="E14" s="45" t="s">
        <v>182</v>
      </c>
      <c r="F14" s="45" t="s">
        <v>183</v>
      </c>
      <c r="G14" s="46" t="n">
        <v>30</v>
      </c>
      <c r="H14" s="44" t="s">
        <v>147</v>
      </c>
      <c r="I14" s="29" t="n">
        <f aca="false">IF($A14="","",COUNTIFS('Invoice &amp; Delivery Log'!$B$8:$B$157,$A14))</f>
        <v>2</v>
      </c>
      <c r="J14" s="30" t="n">
        <f aca="false">IF($A14="","",SUMIFS('Invoice &amp; Delivery Log'!$N$8:$N$157,'Invoice &amp; Delivery Log'!$B$8:$B$157,$A14))</f>
        <v>3767.45</v>
      </c>
      <c r="K14" s="30" t="n">
        <f aca="false">IF($A14="","",SUMIFS('Invoice &amp; Delivery Log'!$O$8:$O$157,'Invoice &amp; Delivery Log'!$B$8:$B$157,$A14))</f>
        <v>3767.45</v>
      </c>
      <c r="L14" s="30" t="n">
        <f aca="false">IF($A14="","",SUMIFS('Invoice &amp; Delivery Log'!$P$8:$P$157,'Invoice &amp; Delivery Log'!$B$8:$B$157,$A14))</f>
        <v>0</v>
      </c>
      <c r="M14" s="30" t="n">
        <f aca="false">IF($A14="","",SUMIFS('Invoice &amp; Delivery Log'!$S$8:$S$157,'Invoice &amp; Delivery Log'!$B$8:$B$157,$A14))</f>
        <v>0</v>
      </c>
      <c r="N14" s="31" t="n">
        <f aca="false">IF($A14="","",IFERROR(COUNTIFS('Invoice &amp; Delivery Log'!$B$8:$B$157,$A14,'Invoice &amp; Delivery Log'!$V$8:$V$157,"On Time")/(COUNTIFS('Invoice &amp; Delivery Log'!$B$8:$B$157,$A14,'Invoice &amp; Delivery Log'!$V$8:$V$157,"On Time")+COUNTIFS('Invoice &amp; Delivery Log'!$B$8:$B$157,$A14,'Invoice &amp; Delivery Log'!$V$8:$V$157,"Late")),""))</f>
        <v>0.5</v>
      </c>
      <c r="O14" s="31" t="n">
        <f aca="false">IF($A14="","",IFERROR(COUNTIFS('Invoice &amp; Delivery Log'!$B$8:$B$157,$A14,'Invoice &amp; Delivery Log'!$K$8:$K$157,"Received in Full")/$I14,""))</f>
        <v>1</v>
      </c>
      <c r="P14" s="47" t="n">
        <f aca="false">IF($A14="","",IFERROR(ROUND(AVERAGEIFS('Payments Log'!$L$8:$L$207,'Payments Log'!$C$8:$C$207,$A14,'Payments Log'!$L$8:$L$207,"&gt;=0"),0),""))</f>
        <v>19</v>
      </c>
      <c r="Q14" s="31" t="n">
        <f aca="false">IF(OR($A14="",$I14=0),"",Settings!$C$14*IF($N14="",0,$N14)+Settings!$C$15*IF($O14="",0,$O14))</f>
        <v>0.7</v>
      </c>
      <c r="R14" s="36" t="str">
        <f aca="false">IF($Q14="","",IF($Q14&gt;=Settings!$C$17,"A",IF($Q14&gt;=Settings!$C$18,"B",IF($Q14&gt;=Settings!$C$19,"C","D"))))</f>
        <v>C</v>
      </c>
      <c r="S14" s="48" t="n">
        <f aca="false">IF($A14="","",$L14+ROW()/1000000)</f>
        <v>1.4E-005</v>
      </c>
    </row>
    <row r="15" customFormat="false" ht="15" hidden="false" customHeight="true" outlineLevel="0" collapsed="false">
      <c r="A15" s="44" t="s">
        <v>184</v>
      </c>
      <c r="B15" s="45" t="s">
        <v>185</v>
      </c>
      <c r="C15" s="45" t="s">
        <v>186</v>
      </c>
      <c r="D15" s="45" t="s">
        <v>187</v>
      </c>
      <c r="E15" s="45" t="s">
        <v>188</v>
      </c>
      <c r="F15" s="45" t="s">
        <v>189</v>
      </c>
      <c r="G15" s="46" t="n">
        <v>21</v>
      </c>
      <c r="H15" s="44" t="s">
        <v>147</v>
      </c>
      <c r="I15" s="49" t="n">
        <f aca="false">IF($A15="","",COUNTIFS('Invoice &amp; Delivery Log'!$B$8:$B$157,$A15))</f>
        <v>1</v>
      </c>
      <c r="J15" s="50" t="n">
        <f aca="false">IF($A15="","",SUMIFS('Invoice &amp; Delivery Log'!$N$8:$N$157,'Invoice &amp; Delivery Log'!$B$8:$B$157,$A15))</f>
        <v>672.92</v>
      </c>
      <c r="K15" s="50" t="n">
        <f aca="false">IF($A15="","",SUMIFS('Invoice &amp; Delivery Log'!$O$8:$O$157,'Invoice &amp; Delivery Log'!$B$8:$B$157,$A15))</f>
        <v>672.92</v>
      </c>
      <c r="L15" s="50" t="n">
        <f aca="false">IF($A15="","",SUMIFS('Invoice &amp; Delivery Log'!$P$8:$P$157,'Invoice &amp; Delivery Log'!$B$8:$B$157,$A15))</f>
        <v>0</v>
      </c>
      <c r="M15" s="50" t="n">
        <f aca="false">IF($A15="","",SUMIFS('Invoice &amp; Delivery Log'!$S$8:$S$157,'Invoice &amp; Delivery Log'!$B$8:$B$157,$A15))</f>
        <v>0</v>
      </c>
      <c r="N15" s="51" t="n">
        <f aca="false">IF($A15="","",IFERROR(COUNTIFS('Invoice &amp; Delivery Log'!$B$8:$B$157,$A15,'Invoice &amp; Delivery Log'!$V$8:$V$157,"On Time")/(COUNTIFS('Invoice &amp; Delivery Log'!$B$8:$B$157,$A15,'Invoice &amp; Delivery Log'!$V$8:$V$157,"On Time")+COUNTIFS('Invoice &amp; Delivery Log'!$B$8:$B$157,$A15,'Invoice &amp; Delivery Log'!$V$8:$V$157,"Late")),""))</f>
        <v>1</v>
      </c>
      <c r="O15" s="51" t="n">
        <f aca="false">IF($A15="","",IFERROR(COUNTIFS('Invoice &amp; Delivery Log'!$B$8:$B$157,$A15,'Invoice &amp; Delivery Log'!$K$8:$K$157,"Received in Full")/$I15,""))</f>
        <v>1</v>
      </c>
      <c r="P15" s="52" t="n">
        <f aca="false">IF($A15="","",IFERROR(ROUND(AVERAGEIFS('Payments Log'!$L$8:$L$207,'Payments Log'!$C$8:$C$207,$A15,'Payments Log'!$L$8:$L$207,"&gt;=0"),0),""))</f>
        <v>8</v>
      </c>
      <c r="Q15" s="51" t="n">
        <f aca="false">IF(OR($A15="",$I15=0),"",Settings!$C$14*IF($N15="",0,$N15)+Settings!$C$15*IF($O15="",0,$O15))</f>
        <v>1</v>
      </c>
      <c r="R15" s="53" t="str">
        <f aca="false">IF($Q15="","",IF($Q15&gt;=Settings!$C$17,"A",IF($Q15&gt;=Settings!$C$18,"B",IF($Q15&gt;=Settings!$C$19,"C","D"))))</f>
        <v>A</v>
      </c>
      <c r="S15" s="54" t="n">
        <f aca="false">IF($A15="","",$L15+ROW()/1000000)</f>
        <v>1.5E-005</v>
      </c>
    </row>
    <row r="16" customFormat="false" ht="15" hidden="false" customHeight="true" outlineLevel="0" collapsed="false">
      <c r="A16" s="44" t="s">
        <v>190</v>
      </c>
      <c r="B16" s="45" t="s">
        <v>191</v>
      </c>
      <c r="C16" s="45" t="s">
        <v>192</v>
      </c>
      <c r="D16" s="45" t="s">
        <v>193</v>
      </c>
      <c r="E16" s="45" t="s">
        <v>194</v>
      </c>
      <c r="F16" s="45" t="s">
        <v>195</v>
      </c>
      <c r="G16" s="46" t="n">
        <v>30</v>
      </c>
      <c r="H16" s="44" t="s">
        <v>147</v>
      </c>
      <c r="I16" s="29" t="n">
        <f aca="false">IF($A16="","",COUNTIFS('Invoice &amp; Delivery Log'!$B$8:$B$157,$A16))</f>
        <v>5</v>
      </c>
      <c r="J16" s="30" t="n">
        <f aca="false">IF($A16="","",SUMIFS('Invoice &amp; Delivery Log'!$N$8:$N$157,'Invoice &amp; Delivery Log'!$B$8:$B$157,$A16))</f>
        <v>23638.56</v>
      </c>
      <c r="K16" s="30" t="n">
        <f aca="false">IF($A16="","",SUMIFS('Invoice &amp; Delivery Log'!$O$8:$O$157,'Invoice &amp; Delivery Log'!$B$8:$B$157,$A16))</f>
        <v>22773.69</v>
      </c>
      <c r="L16" s="30" t="n">
        <f aca="false">IF($A16="","",SUMIFS('Invoice &amp; Delivery Log'!$P$8:$P$157,'Invoice &amp; Delivery Log'!$B$8:$B$157,$A16))</f>
        <v>864.87</v>
      </c>
      <c r="M16" s="30" t="n">
        <f aca="false">IF($A16="","",SUMIFS('Invoice &amp; Delivery Log'!$S$8:$S$157,'Invoice &amp; Delivery Log'!$B$8:$B$157,$A16))</f>
        <v>864.87</v>
      </c>
      <c r="N16" s="31" t="n">
        <f aca="false">IF($A16="","",IFERROR(COUNTIFS('Invoice &amp; Delivery Log'!$B$8:$B$157,$A16,'Invoice &amp; Delivery Log'!$V$8:$V$157,"On Time")/(COUNTIFS('Invoice &amp; Delivery Log'!$B$8:$B$157,$A16,'Invoice &amp; Delivery Log'!$V$8:$V$157,"On Time")+COUNTIFS('Invoice &amp; Delivery Log'!$B$8:$B$157,$A16,'Invoice &amp; Delivery Log'!$V$8:$V$157,"Late")),""))</f>
        <v>1</v>
      </c>
      <c r="O16" s="31" t="n">
        <f aca="false">IF($A16="","",IFERROR(COUNTIFS('Invoice &amp; Delivery Log'!$B$8:$B$157,$A16,'Invoice &amp; Delivery Log'!$K$8:$K$157,"Received in Full")/$I16,""))</f>
        <v>1</v>
      </c>
      <c r="P16" s="47" t="n">
        <f aca="false">IF($A16="","",IFERROR(ROUND(AVERAGEIFS('Payments Log'!$L$8:$L$207,'Payments Log'!$C$8:$C$207,$A16,'Payments Log'!$L$8:$L$207,"&gt;=0"),0),""))</f>
        <v>20</v>
      </c>
      <c r="Q16" s="31" t="n">
        <f aca="false">IF(OR($A16="",$I16=0),"",Settings!$C$14*IF($N16="",0,$N16)+Settings!$C$15*IF($O16="",0,$O16))</f>
        <v>1</v>
      </c>
      <c r="R16" s="36" t="str">
        <f aca="false">IF($Q16="","",IF($Q16&gt;=Settings!$C$17,"A",IF($Q16&gt;=Settings!$C$18,"B",IF($Q16&gt;=Settings!$C$19,"C","D"))))</f>
        <v>A</v>
      </c>
      <c r="S16" s="48" t="n">
        <f aca="false">IF($A16="","",$L16+ROW()/1000000)</f>
        <v>864.870016</v>
      </c>
    </row>
    <row r="17" customFormat="false" ht="15" hidden="false" customHeight="true" outlineLevel="0" collapsed="false">
      <c r="A17" s="44" t="s">
        <v>196</v>
      </c>
      <c r="B17" s="45" t="s">
        <v>197</v>
      </c>
      <c r="C17" s="45" t="s">
        <v>198</v>
      </c>
      <c r="D17" s="45" t="s">
        <v>199</v>
      </c>
      <c r="E17" s="45" t="s">
        <v>200</v>
      </c>
      <c r="F17" s="45" t="s">
        <v>201</v>
      </c>
      <c r="G17" s="46" t="n">
        <v>60</v>
      </c>
      <c r="H17" s="44" t="s">
        <v>147</v>
      </c>
      <c r="I17" s="49" t="n">
        <f aca="false">IF($A17="","",COUNTIFS('Invoice &amp; Delivery Log'!$B$8:$B$157,$A17))</f>
        <v>6</v>
      </c>
      <c r="J17" s="50" t="n">
        <f aca="false">IF($A17="","",SUMIFS('Invoice &amp; Delivery Log'!$N$8:$N$157,'Invoice &amp; Delivery Log'!$B$8:$B$157,$A17))</f>
        <v>47071.78</v>
      </c>
      <c r="K17" s="50" t="n">
        <f aca="false">IF($A17="","",SUMIFS('Invoice &amp; Delivery Log'!$O$8:$O$157,'Invoice &amp; Delivery Log'!$B$8:$B$157,$A17))</f>
        <v>29122.99</v>
      </c>
      <c r="L17" s="50" t="n">
        <f aca="false">IF($A17="","",SUMIFS('Invoice &amp; Delivery Log'!$P$8:$P$157,'Invoice &amp; Delivery Log'!$B$8:$B$157,$A17))</f>
        <v>17948.79</v>
      </c>
      <c r="M17" s="50" t="n">
        <f aca="false">IF($A17="","",SUMIFS('Invoice &amp; Delivery Log'!$S$8:$S$157,'Invoice &amp; Delivery Log'!$B$8:$B$157,$A17))</f>
        <v>9042.96</v>
      </c>
      <c r="N17" s="51" t="n">
        <f aca="false">IF($A17="","",IFERROR(COUNTIFS('Invoice &amp; Delivery Log'!$B$8:$B$157,$A17,'Invoice &amp; Delivery Log'!$V$8:$V$157,"On Time")/(COUNTIFS('Invoice &amp; Delivery Log'!$B$8:$B$157,$A17,'Invoice &amp; Delivery Log'!$V$8:$V$157,"On Time")+COUNTIFS('Invoice &amp; Delivery Log'!$B$8:$B$157,$A17,'Invoice &amp; Delivery Log'!$V$8:$V$157,"Late")),""))</f>
        <v>0.666666666666667</v>
      </c>
      <c r="O17" s="51" t="n">
        <f aca="false">IF($A17="","",IFERROR(COUNTIFS('Invoice &amp; Delivery Log'!$B$8:$B$157,$A17,'Invoice &amp; Delivery Log'!$K$8:$K$157,"Received in Full")/$I17,""))</f>
        <v>0.833333333333333</v>
      </c>
      <c r="P17" s="52" t="n">
        <f aca="false">IF($A17="","",IFERROR(ROUND(AVERAGEIFS('Payments Log'!$L$8:$L$207,'Payments Log'!$C$8:$C$207,$A17,'Payments Log'!$L$8:$L$207,"&gt;=0"),0),""))</f>
        <v>49</v>
      </c>
      <c r="Q17" s="51" t="n">
        <f aca="false">IF(OR($A17="",$I17=0),"",Settings!$C$14*IF($N17="",0,$N17)+Settings!$C$15*IF($O17="",0,$O17))</f>
        <v>0.733333333333333</v>
      </c>
      <c r="R17" s="53" t="str">
        <f aca="false">IF($Q17="","",IF($Q17&gt;=Settings!$C$17,"A",IF($Q17&gt;=Settings!$C$18,"B",IF($Q17&gt;=Settings!$C$19,"C","D"))))</f>
        <v>C</v>
      </c>
      <c r="S17" s="54" t="n">
        <f aca="false">IF($A17="","",$L17+ROW()/1000000)</f>
        <v>17948.790017</v>
      </c>
    </row>
    <row r="18" customFormat="false" ht="15" hidden="false" customHeight="true" outlineLevel="0" collapsed="false">
      <c r="A18" s="44" t="s">
        <v>202</v>
      </c>
      <c r="B18" s="45" t="s">
        <v>203</v>
      </c>
      <c r="C18" s="45" t="s">
        <v>204</v>
      </c>
      <c r="D18" s="45" t="s">
        <v>205</v>
      </c>
      <c r="E18" s="45" t="s">
        <v>206</v>
      </c>
      <c r="F18" s="45" t="s">
        <v>207</v>
      </c>
      <c r="G18" s="46" t="n">
        <v>30</v>
      </c>
      <c r="H18" s="44" t="s">
        <v>147</v>
      </c>
      <c r="I18" s="29" t="n">
        <f aca="false">IF($A18="","",COUNTIFS('Invoice &amp; Delivery Log'!$B$8:$B$157,$A18))</f>
        <v>2</v>
      </c>
      <c r="J18" s="30" t="n">
        <f aca="false">IF($A18="","",SUMIFS('Invoice &amp; Delivery Log'!$N$8:$N$157,'Invoice &amp; Delivery Log'!$B$8:$B$157,$A18))</f>
        <v>5653.27</v>
      </c>
      <c r="K18" s="30" t="n">
        <f aca="false">IF($A18="","",SUMIFS('Invoice &amp; Delivery Log'!$O$8:$O$157,'Invoice &amp; Delivery Log'!$B$8:$B$157,$A18))</f>
        <v>2891.99</v>
      </c>
      <c r="L18" s="30" t="n">
        <f aca="false">IF($A18="","",SUMIFS('Invoice &amp; Delivery Log'!$P$8:$P$157,'Invoice &amp; Delivery Log'!$B$8:$B$157,$A18))</f>
        <v>2761.28</v>
      </c>
      <c r="M18" s="30" t="n">
        <f aca="false">IF($A18="","",SUMIFS('Invoice &amp; Delivery Log'!$S$8:$S$157,'Invoice &amp; Delivery Log'!$B$8:$B$157,$A18))</f>
        <v>2761.28</v>
      </c>
      <c r="N18" s="31" t="n">
        <f aca="false">IF($A18="","",IFERROR(COUNTIFS('Invoice &amp; Delivery Log'!$B$8:$B$157,$A18,'Invoice &amp; Delivery Log'!$V$8:$V$157,"On Time")/(COUNTIFS('Invoice &amp; Delivery Log'!$B$8:$B$157,$A18,'Invoice &amp; Delivery Log'!$V$8:$V$157,"On Time")+COUNTIFS('Invoice &amp; Delivery Log'!$B$8:$B$157,$A18,'Invoice &amp; Delivery Log'!$V$8:$V$157,"Late")),""))</f>
        <v>1</v>
      </c>
      <c r="O18" s="31" t="n">
        <f aca="false">IF($A18="","",IFERROR(COUNTIFS('Invoice &amp; Delivery Log'!$B$8:$B$157,$A18,'Invoice &amp; Delivery Log'!$K$8:$K$157,"Received in Full")/$I18,""))</f>
        <v>1</v>
      </c>
      <c r="P18" s="47" t="n">
        <f aca="false">IF($A18="","",IFERROR(ROUND(AVERAGEIFS('Payments Log'!$L$8:$L$207,'Payments Log'!$C$8:$C$207,$A18,'Payments Log'!$L$8:$L$207,"&gt;=0"),0),""))</f>
        <v>13</v>
      </c>
      <c r="Q18" s="31" t="n">
        <f aca="false">IF(OR($A18="",$I18=0),"",Settings!$C$14*IF($N18="",0,$N18)+Settings!$C$15*IF($O18="",0,$O18))</f>
        <v>1</v>
      </c>
      <c r="R18" s="36" t="str">
        <f aca="false">IF($Q18="","",IF($Q18&gt;=Settings!$C$17,"A",IF($Q18&gt;=Settings!$C$18,"B",IF($Q18&gt;=Settings!$C$19,"C","D"))))</f>
        <v>A</v>
      </c>
      <c r="S18" s="48" t="n">
        <f aca="false">IF($A18="","",$L18+ROW()/1000000)</f>
        <v>2761.280018</v>
      </c>
    </row>
    <row r="19" customFormat="false" ht="15" hidden="false" customHeight="true" outlineLevel="0" collapsed="false">
      <c r="A19" s="44" t="s">
        <v>208</v>
      </c>
      <c r="B19" s="45" t="s">
        <v>209</v>
      </c>
      <c r="C19" s="45" t="s">
        <v>150</v>
      </c>
      <c r="D19" s="45" t="s">
        <v>210</v>
      </c>
      <c r="E19" s="45" t="s">
        <v>211</v>
      </c>
      <c r="F19" s="45" t="s">
        <v>212</v>
      </c>
      <c r="G19" s="46" t="n">
        <v>15</v>
      </c>
      <c r="H19" s="44" t="s">
        <v>213</v>
      </c>
      <c r="I19" s="49" t="n">
        <f aca="false">IF($A19="","",COUNTIFS('Invoice &amp; Delivery Log'!$B$8:$B$157,$A19))</f>
        <v>3</v>
      </c>
      <c r="J19" s="50" t="n">
        <f aca="false">IF($A19="","",SUMIFS('Invoice &amp; Delivery Log'!$N$8:$N$157,'Invoice &amp; Delivery Log'!$B$8:$B$157,$A19))</f>
        <v>4054.71</v>
      </c>
      <c r="K19" s="50" t="n">
        <f aca="false">IF($A19="","",SUMIFS('Invoice &amp; Delivery Log'!$O$8:$O$157,'Invoice &amp; Delivery Log'!$B$8:$B$157,$A19))</f>
        <v>4054.71</v>
      </c>
      <c r="L19" s="50" t="n">
        <f aca="false">IF($A19="","",SUMIFS('Invoice &amp; Delivery Log'!$P$8:$P$157,'Invoice &amp; Delivery Log'!$B$8:$B$157,$A19))</f>
        <v>0</v>
      </c>
      <c r="M19" s="50" t="n">
        <f aca="false">IF($A19="","",SUMIFS('Invoice &amp; Delivery Log'!$S$8:$S$157,'Invoice &amp; Delivery Log'!$B$8:$B$157,$A19))</f>
        <v>0</v>
      </c>
      <c r="N19" s="51" t="n">
        <f aca="false">IF($A19="","",IFERROR(COUNTIFS('Invoice &amp; Delivery Log'!$B$8:$B$157,$A19,'Invoice &amp; Delivery Log'!$V$8:$V$157,"On Time")/(COUNTIFS('Invoice &amp; Delivery Log'!$B$8:$B$157,$A19,'Invoice &amp; Delivery Log'!$V$8:$V$157,"On Time")+COUNTIFS('Invoice &amp; Delivery Log'!$B$8:$B$157,$A19,'Invoice &amp; Delivery Log'!$V$8:$V$157,"Late")),""))</f>
        <v>1</v>
      </c>
      <c r="O19" s="51" t="n">
        <f aca="false">IF($A19="","",IFERROR(COUNTIFS('Invoice &amp; Delivery Log'!$B$8:$B$157,$A19,'Invoice &amp; Delivery Log'!$K$8:$K$157,"Received in Full")/$I19,""))</f>
        <v>1</v>
      </c>
      <c r="P19" s="52" t="n">
        <f aca="false">IF($A19="","",IFERROR(ROUND(AVERAGEIFS('Payments Log'!$L$8:$L$207,'Payments Log'!$C$8:$C$207,$A19,'Payments Log'!$L$8:$L$207,"&gt;=0"),0),""))</f>
        <v>15</v>
      </c>
      <c r="Q19" s="51" t="n">
        <f aca="false">IF(OR($A19="",$I19=0),"",Settings!$C$14*IF($N19="",0,$N19)+Settings!$C$15*IF($O19="",0,$O19))</f>
        <v>1</v>
      </c>
      <c r="R19" s="53" t="str">
        <f aca="false">IF($Q19="","",IF($Q19&gt;=Settings!$C$17,"A",IF($Q19&gt;=Settings!$C$18,"B",IF($Q19&gt;=Settings!$C$19,"C","D"))))</f>
        <v>A</v>
      </c>
      <c r="S19" s="54" t="n">
        <f aca="false">IF($A19="","",$L19+ROW()/1000000)</f>
        <v>1.9E-005</v>
      </c>
    </row>
    <row r="20" customFormat="false" ht="15" hidden="false" customHeight="true" outlineLevel="0" collapsed="false">
      <c r="A20" s="44"/>
      <c r="B20" s="45"/>
      <c r="C20" s="45"/>
      <c r="D20" s="45"/>
      <c r="E20" s="45"/>
      <c r="F20" s="45"/>
      <c r="G20" s="46"/>
      <c r="H20" s="44"/>
      <c r="I20" s="29" t="str">
        <f aca="false">IF($A20="","",COUNTIFS('Invoice &amp; Delivery Log'!$B$8:$B$157,$A20))</f>
        <v/>
      </c>
      <c r="J20" s="30" t="str">
        <f aca="false">IF($A20="","",SUMIFS('Invoice &amp; Delivery Log'!$N$8:$N$157,'Invoice &amp; Delivery Log'!$B$8:$B$157,$A20))</f>
        <v/>
      </c>
      <c r="K20" s="30" t="str">
        <f aca="false">IF($A20="","",SUMIFS('Invoice &amp; Delivery Log'!$O$8:$O$157,'Invoice &amp; Delivery Log'!$B$8:$B$157,$A20))</f>
        <v/>
      </c>
      <c r="L20" s="30" t="str">
        <f aca="false">IF($A20="","",SUMIFS('Invoice &amp; Delivery Log'!$P$8:$P$157,'Invoice &amp; Delivery Log'!$B$8:$B$157,$A20))</f>
        <v/>
      </c>
      <c r="M20" s="30" t="str">
        <f aca="false">IF($A20="","",SUMIFS('Invoice &amp; Delivery Log'!$S$8:$S$157,'Invoice &amp; Delivery Log'!$B$8:$B$157,$A20))</f>
        <v/>
      </c>
      <c r="N20" s="31" t="str">
        <f aca="false">IF($A20="","",IFERROR(COUNTIFS('Invoice &amp; Delivery Log'!$B$8:$B$157,$A20,'Invoice &amp; Delivery Log'!$V$8:$V$157,"On Time")/(COUNTIFS('Invoice &amp; Delivery Log'!$B$8:$B$157,$A20,'Invoice &amp; Delivery Log'!$V$8:$V$157,"On Time")+COUNTIFS('Invoice &amp; Delivery Log'!$B$8:$B$157,$A20,'Invoice &amp; Delivery Log'!$V$8:$V$157,"Late")),""))</f>
        <v/>
      </c>
      <c r="O20" s="31" t="str">
        <f aca="false">IF($A20="","",IFERROR(COUNTIFS('Invoice &amp; Delivery Log'!$B$8:$B$157,$A20,'Invoice &amp; Delivery Log'!$K$8:$K$157,"Received in Full")/$I20,""))</f>
        <v/>
      </c>
      <c r="P20" s="47" t="str">
        <f aca="false">IF($A20="","",IFERROR(ROUND(AVERAGEIFS('Payments Log'!$L$8:$L$207,'Payments Log'!$C$8:$C$207,$A20,'Payments Log'!$L$8:$L$207,"&gt;=0"),0),""))</f>
        <v/>
      </c>
      <c r="Q20" s="31" t="str">
        <f aca="false">IF(OR($A20="",$I20=0),"",Settings!$C$14*IF($N20="",0,$N20)+Settings!$C$15*IF($O20="",0,$O20))</f>
        <v/>
      </c>
      <c r="R20" s="36" t="str">
        <f aca="false">IF($Q20="","",IF($Q20&gt;=Settings!$C$17,"A",IF($Q20&gt;=Settings!$C$18,"B",IF($Q20&gt;=Settings!$C$19,"C","D"))))</f>
        <v/>
      </c>
      <c r="S20" s="48" t="str">
        <f aca="false">IF($A20="","",$L20+ROW()/1000000)</f>
        <v/>
      </c>
    </row>
    <row r="21" customFormat="false" ht="15" hidden="false" customHeight="true" outlineLevel="0" collapsed="false">
      <c r="A21" s="44"/>
      <c r="B21" s="45"/>
      <c r="C21" s="45"/>
      <c r="D21" s="45"/>
      <c r="E21" s="45"/>
      <c r="F21" s="45"/>
      <c r="G21" s="46"/>
      <c r="H21" s="44"/>
      <c r="I21" s="49" t="str">
        <f aca="false">IF($A21="","",COUNTIFS('Invoice &amp; Delivery Log'!$B$8:$B$157,$A21))</f>
        <v/>
      </c>
      <c r="J21" s="50" t="str">
        <f aca="false">IF($A21="","",SUMIFS('Invoice &amp; Delivery Log'!$N$8:$N$157,'Invoice &amp; Delivery Log'!$B$8:$B$157,$A21))</f>
        <v/>
      </c>
      <c r="K21" s="50" t="str">
        <f aca="false">IF($A21="","",SUMIFS('Invoice &amp; Delivery Log'!$O$8:$O$157,'Invoice &amp; Delivery Log'!$B$8:$B$157,$A21))</f>
        <v/>
      </c>
      <c r="L21" s="50" t="str">
        <f aca="false">IF($A21="","",SUMIFS('Invoice &amp; Delivery Log'!$P$8:$P$157,'Invoice &amp; Delivery Log'!$B$8:$B$157,$A21))</f>
        <v/>
      </c>
      <c r="M21" s="50" t="str">
        <f aca="false">IF($A21="","",SUMIFS('Invoice &amp; Delivery Log'!$S$8:$S$157,'Invoice &amp; Delivery Log'!$B$8:$B$157,$A21))</f>
        <v/>
      </c>
      <c r="N21" s="51" t="str">
        <f aca="false">IF($A21="","",IFERROR(COUNTIFS('Invoice &amp; Delivery Log'!$B$8:$B$157,$A21,'Invoice &amp; Delivery Log'!$V$8:$V$157,"On Time")/(COUNTIFS('Invoice &amp; Delivery Log'!$B$8:$B$157,$A21,'Invoice &amp; Delivery Log'!$V$8:$V$157,"On Time")+COUNTIFS('Invoice &amp; Delivery Log'!$B$8:$B$157,$A21,'Invoice &amp; Delivery Log'!$V$8:$V$157,"Late")),""))</f>
        <v/>
      </c>
      <c r="O21" s="51" t="str">
        <f aca="false">IF($A21="","",IFERROR(COUNTIFS('Invoice &amp; Delivery Log'!$B$8:$B$157,$A21,'Invoice &amp; Delivery Log'!$K$8:$K$157,"Received in Full")/$I21,""))</f>
        <v/>
      </c>
      <c r="P21" s="52" t="str">
        <f aca="false">IF($A21="","",IFERROR(ROUND(AVERAGEIFS('Payments Log'!$L$8:$L$207,'Payments Log'!$C$8:$C$207,$A21,'Payments Log'!$L$8:$L$207,"&gt;=0"),0),""))</f>
        <v/>
      </c>
      <c r="Q21" s="51" t="str">
        <f aca="false">IF(OR($A21="",$I21=0),"",Settings!$C$14*IF($N21="",0,$N21)+Settings!$C$15*IF($O21="",0,$O21))</f>
        <v/>
      </c>
      <c r="R21" s="53" t="str">
        <f aca="false">IF($Q21="","",IF($Q21&gt;=Settings!$C$17,"A",IF($Q21&gt;=Settings!$C$18,"B",IF($Q21&gt;=Settings!$C$19,"C","D"))))</f>
        <v/>
      </c>
      <c r="S21" s="54" t="str">
        <f aca="false">IF($A21="","",$L21+ROW()/1000000)</f>
        <v/>
      </c>
    </row>
    <row r="22" customFormat="false" ht="15" hidden="false" customHeight="true" outlineLevel="0" collapsed="false">
      <c r="A22" s="44"/>
      <c r="B22" s="45"/>
      <c r="C22" s="45"/>
      <c r="D22" s="45"/>
      <c r="E22" s="45"/>
      <c r="F22" s="45"/>
      <c r="G22" s="46"/>
      <c r="H22" s="44"/>
      <c r="I22" s="29" t="str">
        <f aca="false">IF($A22="","",COUNTIFS('Invoice &amp; Delivery Log'!$B$8:$B$157,$A22))</f>
        <v/>
      </c>
      <c r="J22" s="30" t="str">
        <f aca="false">IF($A22="","",SUMIFS('Invoice &amp; Delivery Log'!$N$8:$N$157,'Invoice &amp; Delivery Log'!$B$8:$B$157,$A22))</f>
        <v/>
      </c>
      <c r="K22" s="30" t="str">
        <f aca="false">IF($A22="","",SUMIFS('Invoice &amp; Delivery Log'!$O$8:$O$157,'Invoice &amp; Delivery Log'!$B$8:$B$157,$A22))</f>
        <v/>
      </c>
      <c r="L22" s="30" t="str">
        <f aca="false">IF($A22="","",SUMIFS('Invoice &amp; Delivery Log'!$P$8:$P$157,'Invoice &amp; Delivery Log'!$B$8:$B$157,$A22))</f>
        <v/>
      </c>
      <c r="M22" s="30" t="str">
        <f aca="false">IF($A22="","",SUMIFS('Invoice &amp; Delivery Log'!$S$8:$S$157,'Invoice &amp; Delivery Log'!$B$8:$B$157,$A22))</f>
        <v/>
      </c>
      <c r="N22" s="31" t="str">
        <f aca="false">IF($A22="","",IFERROR(COUNTIFS('Invoice &amp; Delivery Log'!$B$8:$B$157,$A22,'Invoice &amp; Delivery Log'!$V$8:$V$157,"On Time")/(COUNTIFS('Invoice &amp; Delivery Log'!$B$8:$B$157,$A22,'Invoice &amp; Delivery Log'!$V$8:$V$157,"On Time")+COUNTIFS('Invoice &amp; Delivery Log'!$B$8:$B$157,$A22,'Invoice &amp; Delivery Log'!$V$8:$V$157,"Late")),""))</f>
        <v/>
      </c>
      <c r="O22" s="31" t="str">
        <f aca="false">IF($A22="","",IFERROR(COUNTIFS('Invoice &amp; Delivery Log'!$B$8:$B$157,$A22,'Invoice &amp; Delivery Log'!$K$8:$K$157,"Received in Full")/$I22,""))</f>
        <v/>
      </c>
      <c r="P22" s="47" t="str">
        <f aca="false">IF($A22="","",IFERROR(ROUND(AVERAGEIFS('Payments Log'!$L$8:$L$207,'Payments Log'!$C$8:$C$207,$A22,'Payments Log'!$L$8:$L$207,"&gt;=0"),0),""))</f>
        <v/>
      </c>
      <c r="Q22" s="31" t="str">
        <f aca="false">IF(OR($A22="",$I22=0),"",Settings!$C$14*IF($N22="",0,$N22)+Settings!$C$15*IF($O22="",0,$O22))</f>
        <v/>
      </c>
      <c r="R22" s="36" t="str">
        <f aca="false">IF($Q22="","",IF($Q22&gt;=Settings!$C$17,"A",IF($Q22&gt;=Settings!$C$18,"B",IF($Q22&gt;=Settings!$C$19,"C","D"))))</f>
        <v/>
      </c>
      <c r="S22" s="48" t="str">
        <f aca="false">IF($A22="","",$L22+ROW()/1000000)</f>
        <v/>
      </c>
    </row>
    <row r="23" customFormat="false" ht="15" hidden="false" customHeight="true" outlineLevel="0" collapsed="false">
      <c r="A23" s="44"/>
      <c r="B23" s="45"/>
      <c r="C23" s="45"/>
      <c r="D23" s="45"/>
      <c r="E23" s="45"/>
      <c r="F23" s="45"/>
      <c r="G23" s="46"/>
      <c r="H23" s="44"/>
      <c r="I23" s="49" t="str">
        <f aca="false">IF($A23="","",COUNTIFS('Invoice &amp; Delivery Log'!$B$8:$B$157,$A23))</f>
        <v/>
      </c>
      <c r="J23" s="50" t="str">
        <f aca="false">IF($A23="","",SUMIFS('Invoice &amp; Delivery Log'!$N$8:$N$157,'Invoice &amp; Delivery Log'!$B$8:$B$157,$A23))</f>
        <v/>
      </c>
      <c r="K23" s="50" t="str">
        <f aca="false">IF($A23="","",SUMIFS('Invoice &amp; Delivery Log'!$O$8:$O$157,'Invoice &amp; Delivery Log'!$B$8:$B$157,$A23))</f>
        <v/>
      </c>
      <c r="L23" s="50" t="str">
        <f aca="false">IF($A23="","",SUMIFS('Invoice &amp; Delivery Log'!$P$8:$P$157,'Invoice &amp; Delivery Log'!$B$8:$B$157,$A23))</f>
        <v/>
      </c>
      <c r="M23" s="50" t="str">
        <f aca="false">IF($A23="","",SUMIFS('Invoice &amp; Delivery Log'!$S$8:$S$157,'Invoice &amp; Delivery Log'!$B$8:$B$157,$A23))</f>
        <v/>
      </c>
      <c r="N23" s="51" t="str">
        <f aca="false">IF($A23="","",IFERROR(COUNTIFS('Invoice &amp; Delivery Log'!$B$8:$B$157,$A23,'Invoice &amp; Delivery Log'!$V$8:$V$157,"On Time")/(COUNTIFS('Invoice &amp; Delivery Log'!$B$8:$B$157,$A23,'Invoice &amp; Delivery Log'!$V$8:$V$157,"On Time")+COUNTIFS('Invoice &amp; Delivery Log'!$B$8:$B$157,$A23,'Invoice &amp; Delivery Log'!$V$8:$V$157,"Late")),""))</f>
        <v/>
      </c>
      <c r="O23" s="51" t="str">
        <f aca="false">IF($A23="","",IFERROR(COUNTIFS('Invoice &amp; Delivery Log'!$B$8:$B$157,$A23,'Invoice &amp; Delivery Log'!$K$8:$K$157,"Received in Full")/$I23,""))</f>
        <v/>
      </c>
      <c r="P23" s="52" t="str">
        <f aca="false">IF($A23="","",IFERROR(ROUND(AVERAGEIFS('Payments Log'!$L$8:$L$207,'Payments Log'!$C$8:$C$207,$A23,'Payments Log'!$L$8:$L$207,"&gt;=0"),0),""))</f>
        <v/>
      </c>
      <c r="Q23" s="51" t="str">
        <f aca="false">IF(OR($A23="",$I23=0),"",Settings!$C$14*IF($N23="",0,$N23)+Settings!$C$15*IF($O23="",0,$O23))</f>
        <v/>
      </c>
      <c r="R23" s="53" t="str">
        <f aca="false">IF($Q23="","",IF($Q23&gt;=Settings!$C$17,"A",IF($Q23&gt;=Settings!$C$18,"B",IF($Q23&gt;=Settings!$C$19,"C","D"))))</f>
        <v/>
      </c>
      <c r="S23" s="54" t="str">
        <f aca="false">IF($A23="","",$L23+ROW()/1000000)</f>
        <v/>
      </c>
    </row>
    <row r="24" customFormat="false" ht="15" hidden="false" customHeight="true" outlineLevel="0" collapsed="false">
      <c r="A24" s="44"/>
      <c r="B24" s="45"/>
      <c r="C24" s="45"/>
      <c r="D24" s="45"/>
      <c r="E24" s="45"/>
      <c r="F24" s="45"/>
      <c r="G24" s="46"/>
      <c r="H24" s="44"/>
      <c r="I24" s="29" t="str">
        <f aca="false">IF($A24="","",COUNTIFS('Invoice &amp; Delivery Log'!$B$8:$B$157,$A24))</f>
        <v/>
      </c>
      <c r="J24" s="30" t="str">
        <f aca="false">IF($A24="","",SUMIFS('Invoice &amp; Delivery Log'!$N$8:$N$157,'Invoice &amp; Delivery Log'!$B$8:$B$157,$A24))</f>
        <v/>
      </c>
      <c r="K24" s="30" t="str">
        <f aca="false">IF($A24="","",SUMIFS('Invoice &amp; Delivery Log'!$O$8:$O$157,'Invoice &amp; Delivery Log'!$B$8:$B$157,$A24))</f>
        <v/>
      </c>
      <c r="L24" s="30" t="str">
        <f aca="false">IF($A24="","",SUMIFS('Invoice &amp; Delivery Log'!$P$8:$P$157,'Invoice &amp; Delivery Log'!$B$8:$B$157,$A24))</f>
        <v/>
      </c>
      <c r="M24" s="30" t="str">
        <f aca="false">IF($A24="","",SUMIFS('Invoice &amp; Delivery Log'!$S$8:$S$157,'Invoice &amp; Delivery Log'!$B$8:$B$157,$A24))</f>
        <v/>
      </c>
      <c r="N24" s="31" t="str">
        <f aca="false">IF($A24="","",IFERROR(COUNTIFS('Invoice &amp; Delivery Log'!$B$8:$B$157,$A24,'Invoice &amp; Delivery Log'!$V$8:$V$157,"On Time")/(COUNTIFS('Invoice &amp; Delivery Log'!$B$8:$B$157,$A24,'Invoice &amp; Delivery Log'!$V$8:$V$157,"On Time")+COUNTIFS('Invoice &amp; Delivery Log'!$B$8:$B$157,$A24,'Invoice &amp; Delivery Log'!$V$8:$V$157,"Late")),""))</f>
        <v/>
      </c>
      <c r="O24" s="31" t="str">
        <f aca="false">IF($A24="","",IFERROR(COUNTIFS('Invoice &amp; Delivery Log'!$B$8:$B$157,$A24,'Invoice &amp; Delivery Log'!$K$8:$K$157,"Received in Full")/$I24,""))</f>
        <v/>
      </c>
      <c r="P24" s="47" t="str">
        <f aca="false">IF($A24="","",IFERROR(ROUND(AVERAGEIFS('Payments Log'!$L$8:$L$207,'Payments Log'!$C$8:$C$207,$A24,'Payments Log'!$L$8:$L$207,"&gt;=0"),0),""))</f>
        <v/>
      </c>
      <c r="Q24" s="31" t="str">
        <f aca="false">IF(OR($A24="",$I24=0),"",Settings!$C$14*IF($N24="",0,$N24)+Settings!$C$15*IF($O24="",0,$O24))</f>
        <v/>
      </c>
      <c r="R24" s="36" t="str">
        <f aca="false">IF($Q24="","",IF($Q24&gt;=Settings!$C$17,"A",IF($Q24&gt;=Settings!$C$18,"B",IF($Q24&gt;=Settings!$C$19,"C","D"))))</f>
        <v/>
      </c>
      <c r="S24" s="48" t="str">
        <f aca="false">IF($A24="","",$L24+ROW()/1000000)</f>
        <v/>
      </c>
    </row>
    <row r="25" customFormat="false" ht="15" hidden="false" customHeight="true" outlineLevel="0" collapsed="false">
      <c r="A25" s="44"/>
      <c r="B25" s="45"/>
      <c r="C25" s="45"/>
      <c r="D25" s="45"/>
      <c r="E25" s="45"/>
      <c r="F25" s="45"/>
      <c r="G25" s="46"/>
      <c r="H25" s="44"/>
      <c r="I25" s="49" t="str">
        <f aca="false">IF($A25="","",COUNTIFS('Invoice &amp; Delivery Log'!$B$8:$B$157,$A25))</f>
        <v/>
      </c>
      <c r="J25" s="50" t="str">
        <f aca="false">IF($A25="","",SUMIFS('Invoice &amp; Delivery Log'!$N$8:$N$157,'Invoice &amp; Delivery Log'!$B$8:$B$157,$A25))</f>
        <v/>
      </c>
      <c r="K25" s="50" t="str">
        <f aca="false">IF($A25="","",SUMIFS('Invoice &amp; Delivery Log'!$O$8:$O$157,'Invoice &amp; Delivery Log'!$B$8:$B$157,$A25))</f>
        <v/>
      </c>
      <c r="L25" s="50" t="str">
        <f aca="false">IF($A25="","",SUMIFS('Invoice &amp; Delivery Log'!$P$8:$P$157,'Invoice &amp; Delivery Log'!$B$8:$B$157,$A25))</f>
        <v/>
      </c>
      <c r="M25" s="50" t="str">
        <f aca="false">IF($A25="","",SUMIFS('Invoice &amp; Delivery Log'!$S$8:$S$157,'Invoice &amp; Delivery Log'!$B$8:$B$157,$A25))</f>
        <v/>
      </c>
      <c r="N25" s="51" t="str">
        <f aca="false">IF($A25="","",IFERROR(COUNTIFS('Invoice &amp; Delivery Log'!$B$8:$B$157,$A25,'Invoice &amp; Delivery Log'!$V$8:$V$157,"On Time")/(COUNTIFS('Invoice &amp; Delivery Log'!$B$8:$B$157,$A25,'Invoice &amp; Delivery Log'!$V$8:$V$157,"On Time")+COUNTIFS('Invoice &amp; Delivery Log'!$B$8:$B$157,$A25,'Invoice &amp; Delivery Log'!$V$8:$V$157,"Late")),""))</f>
        <v/>
      </c>
      <c r="O25" s="51" t="str">
        <f aca="false">IF($A25="","",IFERROR(COUNTIFS('Invoice &amp; Delivery Log'!$B$8:$B$157,$A25,'Invoice &amp; Delivery Log'!$K$8:$K$157,"Received in Full")/$I25,""))</f>
        <v/>
      </c>
      <c r="P25" s="52" t="str">
        <f aca="false">IF($A25="","",IFERROR(ROUND(AVERAGEIFS('Payments Log'!$L$8:$L$207,'Payments Log'!$C$8:$C$207,$A25,'Payments Log'!$L$8:$L$207,"&gt;=0"),0),""))</f>
        <v/>
      </c>
      <c r="Q25" s="51" t="str">
        <f aca="false">IF(OR($A25="",$I25=0),"",Settings!$C$14*IF($N25="",0,$N25)+Settings!$C$15*IF($O25="",0,$O25))</f>
        <v/>
      </c>
      <c r="R25" s="53" t="str">
        <f aca="false">IF($Q25="","",IF($Q25&gt;=Settings!$C$17,"A",IF($Q25&gt;=Settings!$C$18,"B",IF($Q25&gt;=Settings!$C$19,"C","D"))))</f>
        <v/>
      </c>
      <c r="S25" s="54" t="str">
        <f aca="false">IF($A25="","",$L25+ROW()/1000000)</f>
        <v/>
      </c>
    </row>
    <row r="26" customFormat="false" ht="15" hidden="false" customHeight="true" outlineLevel="0" collapsed="false">
      <c r="A26" s="44"/>
      <c r="B26" s="45"/>
      <c r="C26" s="45"/>
      <c r="D26" s="45"/>
      <c r="E26" s="45"/>
      <c r="F26" s="45"/>
      <c r="G26" s="46"/>
      <c r="H26" s="44"/>
      <c r="I26" s="29" t="str">
        <f aca="false">IF($A26="","",COUNTIFS('Invoice &amp; Delivery Log'!$B$8:$B$157,$A26))</f>
        <v/>
      </c>
      <c r="J26" s="30" t="str">
        <f aca="false">IF($A26="","",SUMIFS('Invoice &amp; Delivery Log'!$N$8:$N$157,'Invoice &amp; Delivery Log'!$B$8:$B$157,$A26))</f>
        <v/>
      </c>
      <c r="K26" s="30" t="str">
        <f aca="false">IF($A26="","",SUMIFS('Invoice &amp; Delivery Log'!$O$8:$O$157,'Invoice &amp; Delivery Log'!$B$8:$B$157,$A26))</f>
        <v/>
      </c>
      <c r="L26" s="30" t="str">
        <f aca="false">IF($A26="","",SUMIFS('Invoice &amp; Delivery Log'!$P$8:$P$157,'Invoice &amp; Delivery Log'!$B$8:$B$157,$A26))</f>
        <v/>
      </c>
      <c r="M26" s="30" t="str">
        <f aca="false">IF($A26="","",SUMIFS('Invoice &amp; Delivery Log'!$S$8:$S$157,'Invoice &amp; Delivery Log'!$B$8:$B$157,$A26))</f>
        <v/>
      </c>
      <c r="N26" s="31" t="str">
        <f aca="false">IF($A26="","",IFERROR(COUNTIFS('Invoice &amp; Delivery Log'!$B$8:$B$157,$A26,'Invoice &amp; Delivery Log'!$V$8:$V$157,"On Time")/(COUNTIFS('Invoice &amp; Delivery Log'!$B$8:$B$157,$A26,'Invoice &amp; Delivery Log'!$V$8:$V$157,"On Time")+COUNTIFS('Invoice &amp; Delivery Log'!$B$8:$B$157,$A26,'Invoice &amp; Delivery Log'!$V$8:$V$157,"Late")),""))</f>
        <v/>
      </c>
      <c r="O26" s="31" t="str">
        <f aca="false">IF($A26="","",IFERROR(COUNTIFS('Invoice &amp; Delivery Log'!$B$8:$B$157,$A26,'Invoice &amp; Delivery Log'!$K$8:$K$157,"Received in Full")/$I26,""))</f>
        <v/>
      </c>
      <c r="P26" s="47" t="str">
        <f aca="false">IF($A26="","",IFERROR(ROUND(AVERAGEIFS('Payments Log'!$L$8:$L$207,'Payments Log'!$C$8:$C$207,$A26,'Payments Log'!$L$8:$L$207,"&gt;=0"),0),""))</f>
        <v/>
      </c>
      <c r="Q26" s="31" t="str">
        <f aca="false">IF(OR($A26="",$I26=0),"",Settings!$C$14*IF($N26="",0,$N26)+Settings!$C$15*IF($O26="",0,$O26))</f>
        <v/>
      </c>
      <c r="R26" s="36" t="str">
        <f aca="false">IF($Q26="","",IF($Q26&gt;=Settings!$C$17,"A",IF($Q26&gt;=Settings!$C$18,"B",IF($Q26&gt;=Settings!$C$19,"C","D"))))</f>
        <v/>
      </c>
      <c r="S26" s="48" t="str">
        <f aca="false">IF($A26="","",$L26+ROW()/1000000)</f>
        <v/>
      </c>
    </row>
    <row r="27" customFormat="false" ht="15" hidden="false" customHeight="true" outlineLevel="0" collapsed="false">
      <c r="A27" s="44"/>
      <c r="B27" s="45"/>
      <c r="C27" s="45"/>
      <c r="D27" s="45"/>
      <c r="E27" s="45"/>
      <c r="F27" s="45"/>
      <c r="G27" s="46"/>
      <c r="H27" s="44"/>
      <c r="I27" s="49" t="str">
        <f aca="false">IF($A27="","",COUNTIFS('Invoice &amp; Delivery Log'!$B$8:$B$157,$A27))</f>
        <v/>
      </c>
      <c r="J27" s="50" t="str">
        <f aca="false">IF($A27="","",SUMIFS('Invoice &amp; Delivery Log'!$N$8:$N$157,'Invoice &amp; Delivery Log'!$B$8:$B$157,$A27))</f>
        <v/>
      </c>
      <c r="K27" s="50" t="str">
        <f aca="false">IF($A27="","",SUMIFS('Invoice &amp; Delivery Log'!$O$8:$O$157,'Invoice &amp; Delivery Log'!$B$8:$B$157,$A27))</f>
        <v/>
      </c>
      <c r="L27" s="50" t="str">
        <f aca="false">IF($A27="","",SUMIFS('Invoice &amp; Delivery Log'!$P$8:$P$157,'Invoice &amp; Delivery Log'!$B$8:$B$157,$A27))</f>
        <v/>
      </c>
      <c r="M27" s="50" t="str">
        <f aca="false">IF($A27="","",SUMIFS('Invoice &amp; Delivery Log'!$S$8:$S$157,'Invoice &amp; Delivery Log'!$B$8:$B$157,$A27))</f>
        <v/>
      </c>
      <c r="N27" s="51" t="str">
        <f aca="false">IF($A27="","",IFERROR(COUNTIFS('Invoice &amp; Delivery Log'!$B$8:$B$157,$A27,'Invoice &amp; Delivery Log'!$V$8:$V$157,"On Time")/(COUNTIFS('Invoice &amp; Delivery Log'!$B$8:$B$157,$A27,'Invoice &amp; Delivery Log'!$V$8:$V$157,"On Time")+COUNTIFS('Invoice &amp; Delivery Log'!$B$8:$B$157,$A27,'Invoice &amp; Delivery Log'!$V$8:$V$157,"Late")),""))</f>
        <v/>
      </c>
      <c r="O27" s="51" t="str">
        <f aca="false">IF($A27="","",IFERROR(COUNTIFS('Invoice &amp; Delivery Log'!$B$8:$B$157,$A27,'Invoice &amp; Delivery Log'!$K$8:$K$157,"Received in Full")/$I27,""))</f>
        <v/>
      </c>
      <c r="P27" s="52" t="str">
        <f aca="false">IF($A27="","",IFERROR(ROUND(AVERAGEIFS('Payments Log'!$L$8:$L$207,'Payments Log'!$C$8:$C$207,$A27,'Payments Log'!$L$8:$L$207,"&gt;=0"),0),""))</f>
        <v/>
      </c>
      <c r="Q27" s="51" t="str">
        <f aca="false">IF(OR($A27="",$I27=0),"",Settings!$C$14*IF($N27="",0,$N27)+Settings!$C$15*IF($O27="",0,$O27))</f>
        <v/>
      </c>
      <c r="R27" s="53" t="str">
        <f aca="false">IF($Q27="","",IF($Q27&gt;=Settings!$C$17,"A",IF($Q27&gt;=Settings!$C$18,"B",IF($Q27&gt;=Settings!$C$19,"C","D"))))</f>
        <v/>
      </c>
      <c r="S27" s="54" t="str">
        <f aca="false">IF($A27="","",$L27+ROW()/1000000)</f>
        <v/>
      </c>
    </row>
    <row r="28" customFormat="false" ht="15" hidden="false" customHeight="true" outlineLevel="0" collapsed="false">
      <c r="A28" s="44"/>
      <c r="B28" s="45"/>
      <c r="C28" s="45"/>
      <c r="D28" s="45"/>
      <c r="E28" s="45"/>
      <c r="F28" s="45"/>
      <c r="G28" s="46"/>
      <c r="H28" s="44"/>
      <c r="I28" s="29" t="str">
        <f aca="false">IF($A28="","",COUNTIFS('Invoice &amp; Delivery Log'!$B$8:$B$157,$A28))</f>
        <v/>
      </c>
      <c r="J28" s="30" t="str">
        <f aca="false">IF($A28="","",SUMIFS('Invoice &amp; Delivery Log'!$N$8:$N$157,'Invoice &amp; Delivery Log'!$B$8:$B$157,$A28))</f>
        <v/>
      </c>
      <c r="K28" s="30" t="str">
        <f aca="false">IF($A28="","",SUMIFS('Invoice &amp; Delivery Log'!$O$8:$O$157,'Invoice &amp; Delivery Log'!$B$8:$B$157,$A28))</f>
        <v/>
      </c>
      <c r="L28" s="30" t="str">
        <f aca="false">IF($A28="","",SUMIFS('Invoice &amp; Delivery Log'!$P$8:$P$157,'Invoice &amp; Delivery Log'!$B$8:$B$157,$A28))</f>
        <v/>
      </c>
      <c r="M28" s="30" t="str">
        <f aca="false">IF($A28="","",SUMIFS('Invoice &amp; Delivery Log'!$S$8:$S$157,'Invoice &amp; Delivery Log'!$B$8:$B$157,$A28))</f>
        <v/>
      </c>
      <c r="N28" s="31" t="str">
        <f aca="false">IF($A28="","",IFERROR(COUNTIFS('Invoice &amp; Delivery Log'!$B$8:$B$157,$A28,'Invoice &amp; Delivery Log'!$V$8:$V$157,"On Time")/(COUNTIFS('Invoice &amp; Delivery Log'!$B$8:$B$157,$A28,'Invoice &amp; Delivery Log'!$V$8:$V$157,"On Time")+COUNTIFS('Invoice &amp; Delivery Log'!$B$8:$B$157,$A28,'Invoice &amp; Delivery Log'!$V$8:$V$157,"Late")),""))</f>
        <v/>
      </c>
      <c r="O28" s="31" t="str">
        <f aca="false">IF($A28="","",IFERROR(COUNTIFS('Invoice &amp; Delivery Log'!$B$8:$B$157,$A28,'Invoice &amp; Delivery Log'!$K$8:$K$157,"Received in Full")/$I28,""))</f>
        <v/>
      </c>
      <c r="P28" s="47" t="str">
        <f aca="false">IF($A28="","",IFERROR(ROUND(AVERAGEIFS('Payments Log'!$L$8:$L$207,'Payments Log'!$C$8:$C$207,$A28,'Payments Log'!$L$8:$L$207,"&gt;=0"),0),""))</f>
        <v/>
      </c>
      <c r="Q28" s="31" t="str">
        <f aca="false">IF(OR($A28="",$I28=0),"",Settings!$C$14*IF($N28="",0,$N28)+Settings!$C$15*IF($O28="",0,$O28))</f>
        <v/>
      </c>
      <c r="R28" s="36" t="str">
        <f aca="false">IF($Q28="","",IF($Q28&gt;=Settings!$C$17,"A",IF($Q28&gt;=Settings!$C$18,"B",IF($Q28&gt;=Settings!$C$19,"C","D"))))</f>
        <v/>
      </c>
      <c r="S28" s="48" t="str">
        <f aca="false">IF($A28="","",$L28+ROW()/1000000)</f>
        <v/>
      </c>
    </row>
    <row r="29" customFormat="false" ht="15" hidden="false" customHeight="true" outlineLevel="0" collapsed="false">
      <c r="A29" s="44"/>
      <c r="B29" s="45"/>
      <c r="C29" s="45"/>
      <c r="D29" s="45"/>
      <c r="E29" s="45"/>
      <c r="F29" s="45"/>
      <c r="G29" s="46"/>
      <c r="H29" s="44"/>
      <c r="I29" s="49" t="str">
        <f aca="false">IF($A29="","",COUNTIFS('Invoice &amp; Delivery Log'!$B$8:$B$157,$A29))</f>
        <v/>
      </c>
      <c r="J29" s="50" t="str">
        <f aca="false">IF($A29="","",SUMIFS('Invoice &amp; Delivery Log'!$N$8:$N$157,'Invoice &amp; Delivery Log'!$B$8:$B$157,$A29))</f>
        <v/>
      </c>
      <c r="K29" s="50" t="str">
        <f aca="false">IF($A29="","",SUMIFS('Invoice &amp; Delivery Log'!$O$8:$O$157,'Invoice &amp; Delivery Log'!$B$8:$B$157,$A29))</f>
        <v/>
      </c>
      <c r="L29" s="50" t="str">
        <f aca="false">IF($A29="","",SUMIFS('Invoice &amp; Delivery Log'!$P$8:$P$157,'Invoice &amp; Delivery Log'!$B$8:$B$157,$A29))</f>
        <v/>
      </c>
      <c r="M29" s="50" t="str">
        <f aca="false">IF($A29="","",SUMIFS('Invoice &amp; Delivery Log'!$S$8:$S$157,'Invoice &amp; Delivery Log'!$B$8:$B$157,$A29))</f>
        <v/>
      </c>
      <c r="N29" s="51" t="str">
        <f aca="false">IF($A29="","",IFERROR(COUNTIFS('Invoice &amp; Delivery Log'!$B$8:$B$157,$A29,'Invoice &amp; Delivery Log'!$V$8:$V$157,"On Time")/(COUNTIFS('Invoice &amp; Delivery Log'!$B$8:$B$157,$A29,'Invoice &amp; Delivery Log'!$V$8:$V$157,"On Time")+COUNTIFS('Invoice &amp; Delivery Log'!$B$8:$B$157,$A29,'Invoice &amp; Delivery Log'!$V$8:$V$157,"Late")),""))</f>
        <v/>
      </c>
      <c r="O29" s="51" t="str">
        <f aca="false">IF($A29="","",IFERROR(COUNTIFS('Invoice &amp; Delivery Log'!$B$8:$B$157,$A29,'Invoice &amp; Delivery Log'!$K$8:$K$157,"Received in Full")/$I29,""))</f>
        <v/>
      </c>
      <c r="P29" s="52" t="str">
        <f aca="false">IF($A29="","",IFERROR(ROUND(AVERAGEIFS('Payments Log'!$L$8:$L$207,'Payments Log'!$C$8:$C$207,$A29,'Payments Log'!$L$8:$L$207,"&gt;=0"),0),""))</f>
        <v/>
      </c>
      <c r="Q29" s="51" t="str">
        <f aca="false">IF(OR($A29="",$I29=0),"",Settings!$C$14*IF($N29="",0,$N29)+Settings!$C$15*IF($O29="",0,$O29))</f>
        <v/>
      </c>
      <c r="R29" s="53" t="str">
        <f aca="false">IF($Q29="","",IF($Q29&gt;=Settings!$C$17,"A",IF($Q29&gt;=Settings!$C$18,"B",IF($Q29&gt;=Settings!$C$19,"C","D"))))</f>
        <v/>
      </c>
      <c r="S29" s="54" t="str">
        <f aca="false">IF($A29="","",$L29+ROW()/1000000)</f>
        <v/>
      </c>
    </row>
    <row r="30" customFormat="false" ht="15" hidden="false" customHeight="true" outlineLevel="0" collapsed="false">
      <c r="A30" s="44"/>
      <c r="B30" s="45"/>
      <c r="C30" s="45"/>
      <c r="D30" s="45"/>
      <c r="E30" s="45"/>
      <c r="F30" s="45"/>
      <c r="G30" s="46"/>
      <c r="H30" s="44"/>
      <c r="I30" s="29" t="str">
        <f aca="false">IF($A30="","",COUNTIFS('Invoice &amp; Delivery Log'!$B$8:$B$157,$A30))</f>
        <v/>
      </c>
      <c r="J30" s="30" t="str">
        <f aca="false">IF($A30="","",SUMIFS('Invoice &amp; Delivery Log'!$N$8:$N$157,'Invoice &amp; Delivery Log'!$B$8:$B$157,$A30))</f>
        <v/>
      </c>
      <c r="K30" s="30" t="str">
        <f aca="false">IF($A30="","",SUMIFS('Invoice &amp; Delivery Log'!$O$8:$O$157,'Invoice &amp; Delivery Log'!$B$8:$B$157,$A30))</f>
        <v/>
      </c>
      <c r="L30" s="30" t="str">
        <f aca="false">IF($A30="","",SUMIFS('Invoice &amp; Delivery Log'!$P$8:$P$157,'Invoice &amp; Delivery Log'!$B$8:$B$157,$A30))</f>
        <v/>
      </c>
      <c r="M30" s="30" t="str">
        <f aca="false">IF($A30="","",SUMIFS('Invoice &amp; Delivery Log'!$S$8:$S$157,'Invoice &amp; Delivery Log'!$B$8:$B$157,$A30))</f>
        <v/>
      </c>
      <c r="N30" s="31" t="str">
        <f aca="false">IF($A30="","",IFERROR(COUNTIFS('Invoice &amp; Delivery Log'!$B$8:$B$157,$A30,'Invoice &amp; Delivery Log'!$V$8:$V$157,"On Time")/(COUNTIFS('Invoice &amp; Delivery Log'!$B$8:$B$157,$A30,'Invoice &amp; Delivery Log'!$V$8:$V$157,"On Time")+COUNTIFS('Invoice &amp; Delivery Log'!$B$8:$B$157,$A30,'Invoice &amp; Delivery Log'!$V$8:$V$157,"Late")),""))</f>
        <v/>
      </c>
      <c r="O30" s="31" t="str">
        <f aca="false">IF($A30="","",IFERROR(COUNTIFS('Invoice &amp; Delivery Log'!$B$8:$B$157,$A30,'Invoice &amp; Delivery Log'!$K$8:$K$157,"Received in Full")/$I30,""))</f>
        <v/>
      </c>
      <c r="P30" s="47" t="str">
        <f aca="false">IF($A30="","",IFERROR(ROUND(AVERAGEIFS('Payments Log'!$L$8:$L$207,'Payments Log'!$C$8:$C$207,$A30,'Payments Log'!$L$8:$L$207,"&gt;=0"),0),""))</f>
        <v/>
      </c>
      <c r="Q30" s="31" t="str">
        <f aca="false">IF(OR($A30="",$I30=0),"",Settings!$C$14*IF($N30="",0,$N30)+Settings!$C$15*IF($O30="",0,$O30))</f>
        <v/>
      </c>
      <c r="R30" s="36" t="str">
        <f aca="false">IF($Q30="","",IF($Q30&gt;=Settings!$C$17,"A",IF($Q30&gt;=Settings!$C$18,"B",IF($Q30&gt;=Settings!$C$19,"C","D"))))</f>
        <v/>
      </c>
      <c r="S30" s="48" t="str">
        <f aca="false">IF($A30="","",$L30+ROW()/1000000)</f>
        <v/>
      </c>
    </row>
    <row r="31" customFormat="false" ht="15" hidden="false" customHeight="true" outlineLevel="0" collapsed="false">
      <c r="A31" s="44"/>
      <c r="B31" s="45"/>
      <c r="C31" s="45"/>
      <c r="D31" s="45"/>
      <c r="E31" s="45"/>
      <c r="F31" s="45"/>
      <c r="G31" s="46"/>
      <c r="H31" s="44"/>
      <c r="I31" s="49" t="str">
        <f aca="false">IF($A31="","",COUNTIFS('Invoice &amp; Delivery Log'!$B$8:$B$157,$A31))</f>
        <v/>
      </c>
      <c r="J31" s="50" t="str">
        <f aca="false">IF($A31="","",SUMIFS('Invoice &amp; Delivery Log'!$N$8:$N$157,'Invoice &amp; Delivery Log'!$B$8:$B$157,$A31))</f>
        <v/>
      </c>
      <c r="K31" s="50" t="str">
        <f aca="false">IF($A31="","",SUMIFS('Invoice &amp; Delivery Log'!$O$8:$O$157,'Invoice &amp; Delivery Log'!$B$8:$B$157,$A31))</f>
        <v/>
      </c>
      <c r="L31" s="50" t="str">
        <f aca="false">IF($A31="","",SUMIFS('Invoice &amp; Delivery Log'!$P$8:$P$157,'Invoice &amp; Delivery Log'!$B$8:$B$157,$A31))</f>
        <v/>
      </c>
      <c r="M31" s="50" t="str">
        <f aca="false">IF($A31="","",SUMIFS('Invoice &amp; Delivery Log'!$S$8:$S$157,'Invoice &amp; Delivery Log'!$B$8:$B$157,$A31))</f>
        <v/>
      </c>
      <c r="N31" s="51" t="str">
        <f aca="false">IF($A31="","",IFERROR(COUNTIFS('Invoice &amp; Delivery Log'!$B$8:$B$157,$A31,'Invoice &amp; Delivery Log'!$V$8:$V$157,"On Time")/(COUNTIFS('Invoice &amp; Delivery Log'!$B$8:$B$157,$A31,'Invoice &amp; Delivery Log'!$V$8:$V$157,"On Time")+COUNTIFS('Invoice &amp; Delivery Log'!$B$8:$B$157,$A31,'Invoice &amp; Delivery Log'!$V$8:$V$157,"Late")),""))</f>
        <v/>
      </c>
      <c r="O31" s="51" t="str">
        <f aca="false">IF($A31="","",IFERROR(COUNTIFS('Invoice &amp; Delivery Log'!$B$8:$B$157,$A31,'Invoice &amp; Delivery Log'!$K$8:$K$157,"Received in Full")/$I31,""))</f>
        <v/>
      </c>
      <c r="P31" s="52" t="str">
        <f aca="false">IF($A31="","",IFERROR(ROUND(AVERAGEIFS('Payments Log'!$L$8:$L$207,'Payments Log'!$C$8:$C$207,$A31,'Payments Log'!$L$8:$L$207,"&gt;=0"),0),""))</f>
        <v/>
      </c>
      <c r="Q31" s="51" t="str">
        <f aca="false">IF(OR($A31="",$I31=0),"",Settings!$C$14*IF($N31="",0,$N31)+Settings!$C$15*IF($O31="",0,$O31))</f>
        <v/>
      </c>
      <c r="R31" s="53" t="str">
        <f aca="false">IF($Q31="","",IF($Q31&gt;=Settings!$C$17,"A",IF($Q31&gt;=Settings!$C$18,"B",IF($Q31&gt;=Settings!$C$19,"C","D"))))</f>
        <v/>
      </c>
      <c r="S31" s="54" t="str">
        <f aca="false">IF($A31="","",$L31+ROW()/1000000)</f>
        <v/>
      </c>
    </row>
    <row r="32" customFormat="false" ht="15" hidden="false" customHeight="true" outlineLevel="0" collapsed="false">
      <c r="A32" s="44"/>
      <c r="B32" s="45"/>
      <c r="C32" s="45"/>
      <c r="D32" s="45"/>
      <c r="E32" s="45"/>
      <c r="F32" s="45"/>
      <c r="G32" s="46"/>
      <c r="H32" s="44"/>
      <c r="I32" s="29" t="str">
        <f aca="false">IF($A32="","",COUNTIFS('Invoice &amp; Delivery Log'!$B$8:$B$157,$A32))</f>
        <v/>
      </c>
      <c r="J32" s="30" t="str">
        <f aca="false">IF($A32="","",SUMIFS('Invoice &amp; Delivery Log'!$N$8:$N$157,'Invoice &amp; Delivery Log'!$B$8:$B$157,$A32))</f>
        <v/>
      </c>
      <c r="K32" s="30" t="str">
        <f aca="false">IF($A32="","",SUMIFS('Invoice &amp; Delivery Log'!$O$8:$O$157,'Invoice &amp; Delivery Log'!$B$8:$B$157,$A32))</f>
        <v/>
      </c>
      <c r="L32" s="30" t="str">
        <f aca="false">IF($A32="","",SUMIFS('Invoice &amp; Delivery Log'!$P$8:$P$157,'Invoice &amp; Delivery Log'!$B$8:$B$157,$A32))</f>
        <v/>
      </c>
      <c r="M32" s="30" t="str">
        <f aca="false">IF($A32="","",SUMIFS('Invoice &amp; Delivery Log'!$S$8:$S$157,'Invoice &amp; Delivery Log'!$B$8:$B$157,$A32))</f>
        <v/>
      </c>
      <c r="N32" s="31" t="str">
        <f aca="false">IF($A32="","",IFERROR(COUNTIFS('Invoice &amp; Delivery Log'!$B$8:$B$157,$A32,'Invoice &amp; Delivery Log'!$V$8:$V$157,"On Time")/(COUNTIFS('Invoice &amp; Delivery Log'!$B$8:$B$157,$A32,'Invoice &amp; Delivery Log'!$V$8:$V$157,"On Time")+COUNTIFS('Invoice &amp; Delivery Log'!$B$8:$B$157,$A32,'Invoice &amp; Delivery Log'!$V$8:$V$157,"Late")),""))</f>
        <v/>
      </c>
      <c r="O32" s="31" t="str">
        <f aca="false">IF($A32="","",IFERROR(COUNTIFS('Invoice &amp; Delivery Log'!$B$8:$B$157,$A32,'Invoice &amp; Delivery Log'!$K$8:$K$157,"Received in Full")/$I32,""))</f>
        <v/>
      </c>
      <c r="P32" s="47" t="str">
        <f aca="false">IF($A32="","",IFERROR(ROUND(AVERAGEIFS('Payments Log'!$L$8:$L$207,'Payments Log'!$C$8:$C$207,$A32,'Payments Log'!$L$8:$L$207,"&gt;=0"),0),""))</f>
        <v/>
      </c>
      <c r="Q32" s="31" t="str">
        <f aca="false">IF(OR($A32="",$I32=0),"",Settings!$C$14*IF($N32="",0,$N32)+Settings!$C$15*IF($O32="",0,$O32))</f>
        <v/>
      </c>
      <c r="R32" s="36" t="str">
        <f aca="false">IF($Q32="","",IF($Q32&gt;=Settings!$C$17,"A",IF($Q32&gt;=Settings!$C$18,"B",IF($Q32&gt;=Settings!$C$19,"C","D"))))</f>
        <v/>
      </c>
      <c r="S32" s="48" t="str">
        <f aca="false">IF($A32="","",$L32+ROW()/1000000)</f>
        <v/>
      </c>
    </row>
    <row r="33" customFormat="false" ht="15" hidden="false" customHeight="true" outlineLevel="0" collapsed="false">
      <c r="A33" s="44"/>
      <c r="B33" s="45"/>
      <c r="C33" s="45"/>
      <c r="D33" s="45"/>
      <c r="E33" s="45"/>
      <c r="F33" s="45"/>
      <c r="G33" s="46"/>
      <c r="H33" s="44"/>
      <c r="I33" s="49" t="str">
        <f aca="false">IF($A33="","",COUNTIFS('Invoice &amp; Delivery Log'!$B$8:$B$157,$A33))</f>
        <v/>
      </c>
      <c r="J33" s="50" t="str">
        <f aca="false">IF($A33="","",SUMIFS('Invoice &amp; Delivery Log'!$N$8:$N$157,'Invoice &amp; Delivery Log'!$B$8:$B$157,$A33))</f>
        <v/>
      </c>
      <c r="K33" s="50" t="str">
        <f aca="false">IF($A33="","",SUMIFS('Invoice &amp; Delivery Log'!$O$8:$O$157,'Invoice &amp; Delivery Log'!$B$8:$B$157,$A33))</f>
        <v/>
      </c>
      <c r="L33" s="50" t="str">
        <f aca="false">IF($A33="","",SUMIFS('Invoice &amp; Delivery Log'!$P$8:$P$157,'Invoice &amp; Delivery Log'!$B$8:$B$157,$A33))</f>
        <v/>
      </c>
      <c r="M33" s="50" t="str">
        <f aca="false">IF($A33="","",SUMIFS('Invoice &amp; Delivery Log'!$S$8:$S$157,'Invoice &amp; Delivery Log'!$B$8:$B$157,$A33))</f>
        <v/>
      </c>
      <c r="N33" s="51" t="str">
        <f aca="false">IF($A33="","",IFERROR(COUNTIFS('Invoice &amp; Delivery Log'!$B$8:$B$157,$A33,'Invoice &amp; Delivery Log'!$V$8:$V$157,"On Time")/(COUNTIFS('Invoice &amp; Delivery Log'!$B$8:$B$157,$A33,'Invoice &amp; Delivery Log'!$V$8:$V$157,"On Time")+COUNTIFS('Invoice &amp; Delivery Log'!$B$8:$B$157,$A33,'Invoice &amp; Delivery Log'!$V$8:$V$157,"Late")),""))</f>
        <v/>
      </c>
      <c r="O33" s="51" t="str">
        <f aca="false">IF($A33="","",IFERROR(COUNTIFS('Invoice &amp; Delivery Log'!$B$8:$B$157,$A33,'Invoice &amp; Delivery Log'!$K$8:$K$157,"Received in Full")/$I33,""))</f>
        <v/>
      </c>
      <c r="P33" s="52" t="str">
        <f aca="false">IF($A33="","",IFERROR(ROUND(AVERAGEIFS('Payments Log'!$L$8:$L$207,'Payments Log'!$C$8:$C$207,$A33,'Payments Log'!$L$8:$L$207,"&gt;=0"),0),""))</f>
        <v/>
      </c>
      <c r="Q33" s="51" t="str">
        <f aca="false">IF(OR($A33="",$I33=0),"",Settings!$C$14*IF($N33="",0,$N33)+Settings!$C$15*IF($O33="",0,$O33))</f>
        <v/>
      </c>
      <c r="R33" s="53" t="str">
        <f aca="false">IF($Q33="","",IF($Q33&gt;=Settings!$C$17,"A",IF($Q33&gt;=Settings!$C$18,"B",IF($Q33&gt;=Settings!$C$19,"C","D"))))</f>
        <v/>
      </c>
      <c r="S33" s="54" t="str">
        <f aca="false">IF($A33="","",$L33+ROW()/1000000)</f>
        <v/>
      </c>
    </row>
    <row r="34" customFormat="false" ht="15" hidden="false" customHeight="true" outlineLevel="0" collapsed="false">
      <c r="A34" s="44"/>
      <c r="B34" s="45"/>
      <c r="C34" s="45"/>
      <c r="D34" s="45"/>
      <c r="E34" s="45"/>
      <c r="F34" s="45"/>
      <c r="G34" s="46"/>
      <c r="H34" s="44"/>
      <c r="I34" s="29" t="str">
        <f aca="false">IF($A34="","",COUNTIFS('Invoice &amp; Delivery Log'!$B$8:$B$157,$A34))</f>
        <v/>
      </c>
      <c r="J34" s="30" t="str">
        <f aca="false">IF($A34="","",SUMIFS('Invoice &amp; Delivery Log'!$N$8:$N$157,'Invoice &amp; Delivery Log'!$B$8:$B$157,$A34))</f>
        <v/>
      </c>
      <c r="K34" s="30" t="str">
        <f aca="false">IF($A34="","",SUMIFS('Invoice &amp; Delivery Log'!$O$8:$O$157,'Invoice &amp; Delivery Log'!$B$8:$B$157,$A34))</f>
        <v/>
      </c>
      <c r="L34" s="30" t="str">
        <f aca="false">IF($A34="","",SUMIFS('Invoice &amp; Delivery Log'!$P$8:$P$157,'Invoice &amp; Delivery Log'!$B$8:$B$157,$A34))</f>
        <v/>
      </c>
      <c r="M34" s="30" t="str">
        <f aca="false">IF($A34="","",SUMIFS('Invoice &amp; Delivery Log'!$S$8:$S$157,'Invoice &amp; Delivery Log'!$B$8:$B$157,$A34))</f>
        <v/>
      </c>
      <c r="N34" s="31" t="str">
        <f aca="false">IF($A34="","",IFERROR(COUNTIFS('Invoice &amp; Delivery Log'!$B$8:$B$157,$A34,'Invoice &amp; Delivery Log'!$V$8:$V$157,"On Time")/(COUNTIFS('Invoice &amp; Delivery Log'!$B$8:$B$157,$A34,'Invoice &amp; Delivery Log'!$V$8:$V$157,"On Time")+COUNTIFS('Invoice &amp; Delivery Log'!$B$8:$B$157,$A34,'Invoice &amp; Delivery Log'!$V$8:$V$157,"Late")),""))</f>
        <v/>
      </c>
      <c r="O34" s="31" t="str">
        <f aca="false">IF($A34="","",IFERROR(COUNTIFS('Invoice &amp; Delivery Log'!$B$8:$B$157,$A34,'Invoice &amp; Delivery Log'!$K$8:$K$157,"Received in Full")/$I34,""))</f>
        <v/>
      </c>
      <c r="P34" s="47" t="str">
        <f aca="false">IF($A34="","",IFERROR(ROUND(AVERAGEIFS('Payments Log'!$L$8:$L$207,'Payments Log'!$C$8:$C$207,$A34,'Payments Log'!$L$8:$L$207,"&gt;=0"),0),""))</f>
        <v/>
      </c>
      <c r="Q34" s="31" t="str">
        <f aca="false">IF(OR($A34="",$I34=0),"",Settings!$C$14*IF($N34="",0,$N34)+Settings!$C$15*IF($O34="",0,$O34))</f>
        <v/>
      </c>
      <c r="R34" s="36" t="str">
        <f aca="false">IF($Q34="","",IF($Q34&gt;=Settings!$C$17,"A",IF($Q34&gt;=Settings!$C$18,"B",IF($Q34&gt;=Settings!$C$19,"C","D"))))</f>
        <v/>
      </c>
      <c r="S34" s="48" t="str">
        <f aca="false">IF($A34="","",$L34+ROW()/1000000)</f>
        <v/>
      </c>
    </row>
    <row r="35" customFormat="false" ht="15" hidden="false" customHeight="true" outlineLevel="0" collapsed="false">
      <c r="A35" s="44"/>
      <c r="B35" s="45"/>
      <c r="C35" s="45"/>
      <c r="D35" s="45"/>
      <c r="E35" s="45"/>
      <c r="F35" s="45"/>
      <c r="G35" s="46"/>
      <c r="H35" s="44"/>
      <c r="I35" s="49" t="str">
        <f aca="false">IF($A35="","",COUNTIFS('Invoice &amp; Delivery Log'!$B$8:$B$157,$A35))</f>
        <v/>
      </c>
      <c r="J35" s="50" t="str">
        <f aca="false">IF($A35="","",SUMIFS('Invoice &amp; Delivery Log'!$N$8:$N$157,'Invoice &amp; Delivery Log'!$B$8:$B$157,$A35))</f>
        <v/>
      </c>
      <c r="K35" s="50" t="str">
        <f aca="false">IF($A35="","",SUMIFS('Invoice &amp; Delivery Log'!$O$8:$O$157,'Invoice &amp; Delivery Log'!$B$8:$B$157,$A35))</f>
        <v/>
      </c>
      <c r="L35" s="50" t="str">
        <f aca="false">IF($A35="","",SUMIFS('Invoice &amp; Delivery Log'!$P$8:$P$157,'Invoice &amp; Delivery Log'!$B$8:$B$157,$A35))</f>
        <v/>
      </c>
      <c r="M35" s="50" t="str">
        <f aca="false">IF($A35="","",SUMIFS('Invoice &amp; Delivery Log'!$S$8:$S$157,'Invoice &amp; Delivery Log'!$B$8:$B$157,$A35))</f>
        <v/>
      </c>
      <c r="N35" s="51" t="str">
        <f aca="false">IF($A35="","",IFERROR(COUNTIFS('Invoice &amp; Delivery Log'!$B$8:$B$157,$A35,'Invoice &amp; Delivery Log'!$V$8:$V$157,"On Time")/(COUNTIFS('Invoice &amp; Delivery Log'!$B$8:$B$157,$A35,'Invoice &amp; Delivery Log'!$V$8:$V$157,"On Time")+COUNTIFS('Invoice &amp; Delivery Log'!$B$8:$B$157,$A35,'Invoice &amp; Delivery Log'!$V$8:$V$157,"Late")),""))</f>
        <v/>
      </c>
      <c r="O35" s="51" t="str">
        <f aca="false">IF($A35="","",IFERROR(COUNTIFS('Invoice &amp; Delivery Log'!$B$8:$B$157,$A35,'Invoice &amp; Delivery Log'!$K$8:$K$157,"Received in Full")/$I35,""))</f>
        <v/>
      </c>
      <c r="P35" s="52" t="str">
        <f aca="false">IF($A35="","",IFERROR(ROUND(AVERAGEIFS('Payments Log'!$L$8:$L$207,'Payments Log'!$C$8:$C$207,$A35,'Payments Log'!$L$8:$L$207,"&gt;=0"),0),""))</f>
        <v/>
      </c>
      <c r="Q35" s="51" t="str">
        <f aca="false">IF(OR($A35="",$I35=0),"",Settings!$C$14*IF($N35="",0,$N35)+Settings!$C$15*IF($O35="",0,$O35))</f>
        <v/>
      </c>
      <c r="R35" s="53" t="str">
        <f aca="false">IF($Q35="","",IF($Q35&gt;=Settings!$C$17,"A",IF($Q35&gt;=Settings!$C$18,"B",IF($Q35&gt;=Settings!$C$19,"C","D"))))</f>
        <v/>
      </c>
      <c r="S35" s="54" t="str">
        <f aca="false">IF($A35="","",$L35+ROW()/1000000)</f>
        <v/>
      </c>
    </row>
    <row r="36" customFormat="false" ht="15" hidden="false" customHeight="true" outlineLevel="0" collapsed="false">
      <c r="A36" s="44"/>
      <c r="B36" s="45"/>
      <c r="C36" s="45"/>
      <c r="D36" s="45"/>
      <c r="E36" s="45"/>
      <c r="F36" s="45"/>
      <c r="G36" s="46"/>
      <c r="H36" s="44"/>
      <c r="I36" s="29" t="str">
        <f aca="false">IF($A36="","",COUNTIFS('Invoice &amp; Delivery Log'!$B$8:$B$157,$A36))</f>
        <v/>
      </c>
      <c r="J36" s="30" t="str">
        <f aca="false">IF($A36="","",SUMIFS('Invoice &amp; Delivery Log'!$N$8:$N$157,'Invoice &amp; Delivery Log'!$B$8:$B$157,$A36))</f>
        <v/>
      </c>
      <c r="K36" s="30" t="str">
        <f aca="false">IF($A36="","",SUMIFS('Invoice &amp; Delivery Log'!$O$8:$O$157,'Invoice &amp; Delivery Log'!$B$8:$B$157,$A36))</f>
        <v/>
      </c>
      <c r="L36" s="30" t="str">
        <f aca="false">IF($A36="","",SUMIFS('Invoice &amp; Delivery Log'!$P$8:$P$157,'Invoice &amp; Delivery Log'!$B$8:$B$157,$A36))</f>
        <v/>
      </c>
      <c r="M36" s="30" t="str">
        <f aca="false">IF($A36="","",SUMIFS('Invoice &amp; Delivery Log'!$S$8:$S$157,'Invoice &amp; Delivery Log'!$B$8:$B$157,$A36))</f>
        <v/>
      </c>
      <c r="N36" s="31" t="str">
        <f aca="false">IF($A36="","",IFERROR(COUNTIFS('Invoice &amp; Delivery Log'!$B$8:$B$157,$A36,'Invoice &amp; Delivery Log'!$V$8:$V$157,"On Time")/(COUNTIFS('Invoice &amp; Delivery Log'!$B$8:$B$157,$A36,'Invoice &amp; Delivery Log'!$V$8:$V$157,"On Time")+COUNTIFS('Invoice &amp; Delivery Log'!$B$8:$B$157,$A36,'Invoice &amp; Delivery Log'!$V$8:$V$157,"Late")),""))</f>
        <v/>
      </c>
      <c r="O36" s="31" t="str">
        <f aca="false">IF($A36="","",IFERROR(COUNTIFS('Invoice &amp; Delivery Log'!$B$8:$B$157,$A36,'Invoice &amp; Delivery Log'!$K$8:$K$157,"Received in Full")/$I36,""))</f>
        <v/>
      </c>
      <c r="P36" s="47" t="str">
        <f aca="false">IF($A36="","",IFERROR(ROUND(AVERAGEIFS('Payments Log'!$L$8:$L$207,'Payments Log'!$C$8:$C$207,$A36,'Payments Log'!$L$8:$L$207,"&gt;=0"),0),""))</f>
        <v/>
      </c>
      <c r="Q36" s="31" t="str">
        <f aca="false">IF(OR($A36="",$I36=0),"",Settings!$C$14*IF($N36="",0,$N36)+Settings!$C$15*IF($O36="",0,$O36))</f>
        <v/>
      </c>
      <c r="R36" s="36" t="str">
        <f aca="false">IF($Q36="","",IF($Q36&gt;=Settings!$C$17,"A",IF($Q36&gt;=Settings!$C$18,"B",IF($Q36&gt;=Settings!$C$19,"C","D"))))</f>
        <v/>
      </c>
      <c r="S36" s="48" t="str">
        <f aca="false">IF($A36="","",$L36+ROW()/1000000)</f>
        <v/>
      </c>
    </row>
    <row r="37" customFormat="false" ht="15" hidden="false" customHeight="true" outlineLevel="0" collapsed="false">
      <c r="A37" s="44"/>
      <c r="B37" s="45"/>
      <c r="C37" s="45"/>
      <c r="D37" s="45"/>
      <c r="E37" s="45"/>
      <c r="F37" s="45"/>
      <c r="G37" s="46"/>
      <c r="H37" s="44"/>
      <c r="I37" s="49" t="str">
        <f aca="false">IF($A37="","",COUNTIFS('Invoice &amp; Delivery Log'!$B$8:$B$157,$A37))</f>
        <v/>
      </c>
      <c r="J37" s="50" t="str">
        <f aca="false">IF($A37="","",SUMIFS('Invoice &amp; Delivery Log'!$N$8:$N$157,'Invoice &amp; Delivery Log'!$B$8:$B$157,$A37))</f>
        <v/>
      </c>
      <c r="K37" s="50" t="str">
        <f aca="false">IF($A37="","",SUMIFS('Invoice &amp; Delivery Log'!$O$8:$O$157,'Invoice &amp; Delivery Log'!$B$8:$B$157,$A37))</f>
        <v/>
      </c>
      <c r="L37" s="50" t="str">
        <f aca="false">IF($A37="","",SUMIFS('Invoice &amp; Delivery Log'!$P$8:$P$157,'Invoice &amp; Delivery Log'!$B$8:$B$157,$A37))</f>
        <v/>
      </c>
      <c r="M37" s="50" t="str">
        <f aca="false">IF($A37="","",SUMIFS('Invoice &amp; Delivery Log'!$S$8:$S$157,'Invoice &amp; Delivery Log'!$B$8:$B$157,$A37))</f>
        <v/>
      </c>
      <c r="N37" s="51" t="str">
        <f aca="false">IF($A37="","",IFERROR(COUNTIFS('Invoice &amp; Delivery Log'!$B$8:$B$157,$A37,'Invoice &amp; Delivery Log'!$V$8:$V$157,"On Time")/(COUNTIFS('Invoice &amp; Delivery Log'!$B$8:$B$157,$A37,'Invoice &amp; Delivery Log'!$V$8:$V$157,"On Time")+COUNTIFS('Invoice &amp; Delivery Log'!$B$8:$B$157,$A37,'Invoice &amp; Delivery Log'!$V$8:$V$157,"Late")),""))</f>
        <v/>
      </c>
      <c r="O37" s="51" t="str">
        <f aca="false">IF($A37="","",IFERROR(COUNTIFS('Invoice &amp; Delivery Log'!$B$8:$B$157,$A37,'Invoice &amp; Delivery Log'!$K$8:$K$157,"Received in Full")/$I37,""))</f>
        <v/>
      </c>
      <c r="P37" s="52" t="str">
        <f aca="false">IF($A37="","",IFERROR(ROUND(AVERAGEIFS('Payments Log'!$L$8:$L$207,'Payments Log'!$C$8:$C$207,$A37,'Payments Log'!$L$8:$L$207,"&gt;=0"),0),""))</f>
        <v/>
      </c>
      <c r="Q37" s="51" t="str">
        <f aca="false">IF(OR($A37="",$I37=0),"",Settings!$C$14*IF($N37="",0,$N37)+Settings!$C$15*IF($O37="",0,$O37))</f>
        <v/>
      </c>
      <c r="R37" s="53" t="str">
        <f aca="false">IF($Q37="","",IF($Q37&gt;=Settings!$C$17,"A",IF($Q37&gt;=Settings!$C$18,"B",IF($Q37&gt;=Settings!$C$19,"C","D"))))</f>
        <v/>
      </c>
      <c r="S37" s="54" t="str">
        <f aca="false">IF($A37="","",$L37+ROW()/1000000)</f>
        <v/>
      </c>
    </row>
    <row r="38" customFormat="false" ht="15" hidden="false" customHeight="true" outlineLevel="0" collapsed="false">
      <c r="A38" s="44"/>
      <c r="B38" s="45"/>
      <c r="C38" s="45"/>
      <c r="D38" s="45"/>
      <c r="E38" s="45"/>
      <c r="F38" s="45"/>
      <c r="G38" s="46"/>
      <c r="H38" s="44"/>
      <c r="I38" s="29" t="str">
        <f aca="false">IF($A38="","",COUNTIFS('Invoice &amp; Delivery Log'!$B$8:$B$157,$A38))</f>
        <v/>
      </c>
      <c r="J38" s="30" t="str">
        <f aca="false">IF($A38="","",SUMIFS('Invoice &amp; Delivery Log'!$N$8:$N$157,'Invoice &amp; Delivery Log'!$B$8:$B$157,$A38))</f>
        <v/>
      </c>
      <c r="K38" s="30" t="str">
        <f aca="false">IF($A38="","",SUMIFS('Invoice &amp; Delivery Log'!$O$8:$O$157,'Invoice &amp; Delivery Log'!$B$8:$B$157,$A38))</f>
        <v/>
      </c>
      <c r="L38" s="30" t="str">
        <f aca="false">IF($A38="","",SUMIFS('Invoice &amp; Delivery Log'!$P$8:$P$157,'Invoice &amp; Delivery Log'!$B$8:$B$157,$A38))</f>
        <v/>
      </c>
      <c r="M38" s="30" t="str">
        <f aca="false">IF($A38="","",SUMIFS('Invoice &amp; Delivery Log'!$S$8:$S$157,'Invoice &amp; Delivery Log'!$B$8:$B$157,$A38))</f>
        <v/>
      </c>
      <c r="N38" s="31" t="str">
        <f aca="false">IF($A38="","",IFERROR(COUNTIFS('Invoice &amp; Delivery Log'!$B$8:$B$157,$A38,'Invoice &amp; Delivery Log'!$V$8:$V$157,"On Time")/(COUNTIFS('Invoice &amp; Delivery Log'!$B$8:$B$157,$A38,'Invoice &amp; Delivery Log'!$V$8:$V$157,"On Time")+COUNTIFS('Invoice &amp; Delivery Log'!$B$8:$B$157,$A38,'Invoice &amp; Delivery Log'!$V$8:$V$157,"Late")),""))</f>
        <v/>
      </c>
      <c r="O38" s="31" t="str">
        <f aca="false">IF($A38="","",IFERROR(COUNTIFS('Invoice &amp; Delivery Log'!$B$8:$B$157,$A38,'Invoice &amp; Delivery Log'!$K$8:$K$157,"Received in Full")/$I38,""))</f>
        <v/>
      </c>
      <c r="P38" s="47" t="str">
        <f aca="false">IF($A38="","",IFERROR(ROUND(AVERAGEIFS('Payments Log'!$L$8:$L$207,'Payments Log'!$C$8:$C$207,$A38,'Payments Log'!$L$8:$L$207,"&gt;=0"),0),""))</f>
        <v/>
      </c>
      <c r="Q38" s="31" t="str">
        <f aca="false">IF(OR($A38="",$I38=0),"",Settings!$C$14*IF($N38="",0,$N38)+Settings!$C$15*IF($O38="",0,$O38))</f>
        <v/>
      </c>
      <c r="R38" s="36" t="str">
        <f aca="false">IF($Q38="","",IF($Q38&gt;=Settings!$C$17,"A",IF($Q38&gt;=Settings!$C$18,"B",IF($Q38&gt;=Settings!$C$19,"C","D"))))</f>
        <v/>
      </c>
      <c r="S38" s="48" t="str">
        <f aca="false">IF($A38="","",$L38+ROW()/1000000)</f>
        <v/>
      </c>
    </row>
    <row r="39" customFormat="false" ht="15" hidden="false" customHeight="true" outlineLevel="0" collapsed="false">
      <c r="A39" s="44"/>
      <c r="B39" s="45"/>
      <c r="C39" s="45"/>
      <c r="D39" s="45"/>
      <c r="E39" s="45"/>
      <c r="F39" s="45"/>
      <c r="G39" s="46"/>
      <c r="H39" s="44"/>
      <c r="I39" s="49" t="str">
        <f aca="false">IF($A39="","",COUNTIFS('Invoice &amp; Delivery Log'!$B$8:$B$157,$A39))</f>
        <v/>
      </c>
      <c r="J39" s="50" t="str">
        <f aca="false">IF($A39="","",SUMIFS('Invoice &amp; Delivery Log'!$N$8:$N$157,'Invoice &amp; Delivery Log'!$B$8:$B$157,$A39))</f>
        <v/>
      </c>
      <c r="K39" s="50" t="str">
        <f aca="false">IF($A39="","",SUMIFS('Invoice &amp; Delivery Log'!$O$8:$O$157,'Invoice &amp; Delivery Log'!$B$8:$B$157,$A39))</f>
        <v/>
      </c>
      <c r="L39" s="50" t="str">
        <f aca="false">IF($A39="","",SUMIFS('Invoice &amp; Delivery Log'!$P$8:$P$157,'Invoice &amp; Delivery Log'!$B$8:$B$157,$A39))</f>
        <v/>
      </c>
      <c r="M39" s="50" t="str">
        <f aca="false">IF($A39="","",SUMIFS('Invoice &amp; Delivery Log'!$S$8:$S$157,'Invoice &amp; Delivery Log'!$B$8:$B$157,$A39))</f>
        <v/>
      </c>
      <c r="N39" s="51" t="str">
        <f aca="false">IF($A39="","",IFERROR(COUNTIFS('Invoice &amp; Delivery Log'!$B$8:$B$157,$A39,'Invoice &amp; Delivery Log'!$V$8:$V$157,"On Time")/(COUNTIFS('Invoice &amp; Delivery Log'!$B$8:$B$157,$A39,'Invoice &amp; Delivery Log'!$V$8:$V$157,"On Time")+COUNTIFS('Invoice &amp; Delivery Log'!$B$8:$B$157,$A39,'Invoice &amp; Delivery Log'!$V$8:$V$157,"Late")),""))</f>
        <v/>
      </c>
      <c r="O39" s="51" t="str">
        <f aca="false">IF($A39="","",IFERROR(COUNTIFS('Invoice &amp; Delivery Log'!$B$8:$B$157,$A39,'Invoice &amp; Delivery Log'!$K$8:$K$157,"Received in Full")/$I39,""))</f>
        <v/>
      </c>
      <c r="P39" s="52" t="str">
        <f aca="false">IF($A39="","",IFERROR(ROUND(AVERAGEIFS('Payments Log'!$L$8:$L$207,'Payments Log'!$C$8:$C$207,$A39,'Payments Log'!$L$8:$L$207,"&gt;=0"),0),""))</f>
        <v/>
      </c>
      <c r="Q39" s="51" t="str">
        <f aca="false">IF(OR($A39="",$I39=0),"",Settings!$C$14*IF($N39="",0,$N39)+Settings!$C$15*IF($O39="",0,$O39))</f>
        <v/>
      </c>
      <c r="R39" s="53" t="str">
        <f aca="false">IF($Q39="","",IF($Q39&gt;=Settings!$C$17,"A",IF($Q39&gt;=Settings!$C$18,"B",IF($Q39&gt;=Settings!$C$19,"C","D"))))</f>
        <v/>
      </c>
      <c r="S39" s="54" t="str">
        <f aca="false">IF($A39="","",$L39+ROW()/1000000)</f>
        <v/>
      </c>
    </row>
    <row r="40" customFormat="false" ht="15" hidden="false" customHeight="true" outlineLevel="0" collapsed="false">
      <c r="A40" s="44"/>
      <c r="B40" s="45"/>
      <c r="C40" s="45"/>
      <c r="D40" s="45"/>
      <c r="E40" s="45"/>
      <c r="F40" s="45"/>
      <c r="G40" s="46"/>
      <c r="H40" s="44"/>
      <c r="I40" s="29" t="str">
        <f aca="false">IF($A40="","",COUNTIFS('Invoice &amp; Delivery Log'!$B$8:$B$157,$A40))</f>
        <v/>
      </c>
      <c r="J40" s="30" t="str">
        <f aca="false">IF($A40="","",SUMIFS('Invoice &amp; Delivery Log'!$N$8:$N$157,'Invoice &amp; Delivery Log'!$B$8:$B$157,$A40))</f>
        <v/>
      </c>
      <c r="K40" s="30" t="str">
        <f aca="false">IF($A40="","",SUMIFS('Invoice &amp; Delivery Log'!$O$8:$O$157,'Invoice &amp; Delivery Log'!$B$8:$B$157,$A40))</f>
        <v/>
      </c>
      <c r="L40" s="30" t="str">
        <f aca="false">IF($A40="","",SUMIFS('Invoice &amp; Delivery Log'!$P$8:$P$157,'Invoice &amp; Delivery Log'!$B$8:$B$157,$A40))</f>
        <v/>
      </c>
      <c r="M40" s="30" t="str">
        <f aca="false">IF($A40="","",SUMIFS('Invoice &amp; Delivery Log'!$S$8:$S$157,'Invoice &amp; Delivery Log'!$B$8:$B$157,$A40))</f>
        <v/>
      </c>
      <c r="N40" s="31" t="str">
        <f aca="false">IF($A40="","",IFERROR(COUNTIFS('Invoice &amp; Delivery Log'!$B$8:$B$157,$A40,'Invoice &amp; Delivery Log'!$V$8:$V$157,"On Time")/(COUNTIFS('Invoice &amp; Delivery Log'!$B$8:$B$157,$A40,'Invoice &amp; Delivery Log'!$V$8:$V$157,"On Time")+COUNTIFS('Invoice &amp; Delivery Log'!$B$8:$B$157,$A40,'Invoice &amp; Delivery Log'!$V$8:$V$157,"Late")),""))</f>
        <v/>
      </c>
      <c r="O40" s="31" t="str">
        <f aca="false">IF($A40="","",IFERROR(COUNTIFS('Invoice &amp; Delivery Log'!$B$8:$B$157,$A40,'Invoice &amp; Delivery Log'!$K$8:$K$157,"Received in Full")/$I40,""))</f>
        <v/>
      </c>
      <c r="P40" s="47" t="str">
        <f aca="false">IF($A40="","",IFERROR(ROUND(AVERAGEIFS('Payments Log'!$L$8:$L$207,'Payments Log'!$C$8:$C$207,$A40,'Payments Log'!$L$8:$L$207,"&gt;=0"),0),""))</f>
        <v/>
      </c>
      <c r="Q40" s="31" t="str">
        <f aca="false">IF(OR($A40="",$I40=0),"",Settings!$C$14*IF($N40="",0,$N40)+Settings!$C$15*IF($O40="",0,$O40))</f>
        <v/>
      </c>
      <c r="R40" s="36" t="str">
        <f aca="false">IF($Q40="","",IF($Q40&gt;=Settings!$C$17,"A",IF($Q40&gt;=Settings!$C$18,"B",IF($Q40&gt;=Settings!$C$19,"C","D"))))</f>
        <v/>
      </c>
      <c r="S40" s="48" t="str">
        <f aca="false">IF($A40="","",$L40+ROW()/1000000)</f>
        <v/>
      </c>
    </row>
    <row r="41" customFormat="false" ht="15" hidden="false" customHeight="true" outlineLevel="0" collapsed="false">
      <c r="A41" s="44"/>
      <c r="B41" s="45"/>
      <c r="C41" s="45"/>
      <c r="D41" s="45"/>
      <c r="E41" s="45"/>
      <c r="F41" s="45"/>
      <c r="G41" s="46"/>
      <c r="H41" s="44"/>
      <c r="I41" s="49" t="str">
        <f aca="false">IF($A41="","",COUNTIFS('Invoice &amp; Delivery Log'!$B$8:$B$157,$A41))</f>
        <v/>
      </c>
      <c r="J41" s="50" t="str">
        <f aca="false">IF($A41="","",SUMIFS('Invoice &amp; Delivery Log'!$N$8:$N$157,'Invoice &amp; Delivery Log'!$B$8:$B$157,$A41))</f>
        <v/>
      </c>
      <c r="K41" s="50" t="str">
        <f aca="false">IF($A41="","",SUMIFS('Invoice &amp; Delivery Log'!$O$8:$O$157,'Invoice &amp; Delivery Log'!$B$8:$B$157,$A41))</f>
        <v/>
      </c>
      <c r="L41" s="50" t="str">
        <f aca="false">IF($A41="","",SUMIFS('Invoice &amp; Delivery Log'!$P$8:$P$157,'Invoice &amp; Delivery Log'!$B$8:$B$157,$A41))</f>
        <v/>
      </c>
      <c r="M41" s="50" t="str">
        <f aca="false">IF($A41="","",SUMIFS('Invoice &amp; Delivery Log'!$S$8:$S$157,'Invoice &amp; Delivery Log'!$B$8:$B$157,$A41))</f>
        <v/>
      </c>
      <c r="N41" s="51" t="str">
        <f aca="false">IF($A41="","",IFERROR(COUNTIFS('Invoice &amp; Delivery Log'!$B$8:$B$157,$A41,'Invoice &amp; Delivery Log'!$V$8:$V$157,"On Time")/(COUNTIFS('Invoice &amp; Delivery Log'!$B$8:$B$157,$A41,'Invoice &amp; Delivery Log'!$V$8:$V$157,"On Time")+COUNTIFS('Invoice &amp; Delivery Log'!$B$8:$B$157,$A41,'Invoice &amp; Delivery Log'!$V$8:$V$157,"Late")),""))</f>
        <v/>
      </c>
      <c r="O41" s="51" t="str">
        <f aca="false">IF($A41="","",IFERROR(COUNTIFS('Invoice &amp; Delivery Log'!$B$8:$B$157,$A41,'Invoice &amp; Delivery Log'!$K$8:$K$157,"Received in Full")/$I41,""))</f>
        <v/>
      </c>
      <c r="P41" s="52" t="str">
        <f aca="false">IF($A41="","",IFERROR(ROUND(AVERAGEIFS('Payments Log'!$L$8:$L$207,'Payments Log'!$C$8:$C$207,$A41,'Payments Log'!$L$8:$L$207,"&gt;=0"),0),""))</f>
        <v/>
      </c>
      <c r="Q41" s="51" t="str">
        <f aca="false">IF(OR($A41="",$I41=0),"",Settings!$C$14*IF($N41="",0,$N41)+Settings!$C$15*IF($O41="",0,$O41))</f>
        <v/>
      </c>
      <c r="R41" s="53" t="str">
        <f aca="false">IF($Q41="","",IF($Q41&gt;=Settings!$C$17,"A",IF($Q41&gt;=Settings!$C$18,"B",IF($Q41&gt;=Settings!$C$19,"C","D"))))</f>
        <v/>
      </c>
      <c r="S41" s="54" t="str">
        <f aca="false">IF($A41="","",$L41+ROW()/1000000)</f>
        <v/>
      </c>
    </row>
    <row r="42" customFormat="false" ht="15" hidden="false" customHeight="true" outlineLevel="0" collapsed="false">
      <c r="A42" s="44"/>
      <c r="B42" s="45"/>
      <c r="C42" s="45"/>
      <c r="D42" s="45"/>
      <c r="E42" s="45"/>
      <c r="F42" s="45"/>
      <c r="G42" s="46"/>
      <c r="H42" s="44"/>
      <c r="I42" s="29" t="str">
        <f aca="false">IF($A42="","",COUNTIFS('Invoice &amp; Delivery Log'!$B$8:$B$157,$A42))</f>
        <v/>
      </c>
      <c r="J42" s="30" t="str">
        <f aca="false">IF($A42="","",SUMIFS('Invoice &amp; Delivery Log'!$N$8:$N$157,'Invoice &amp; Delivery Log'!$B$8:$B$157,$A42))</f>
        <v/>
      </c>
      <c r="K42" s="30" t="str">
        <f aca="false">IF($A42="","",SUMIFS('Invoice &amp; Delivery Log'!$O$8:$O$157,'Invoice &amp; Delivery Log'!$B$8:$B$157,$A42))</f>
        <v/>
      </c>
      <c r="L42" s="30" t="str">
        <f aca="false">IF($A42="","",SUMIFS('Invoice &amp; Delivery Log'!$P$8:$P$157,'Invoice &amp; Delivery Log'!$B$8:$B$157,$A42))</f>
        <v/>
      </c>
      <c r="M42" s="30" t="str">
        <f aca="false">IF($A42="","",SUMIFS('Invoice &amp; Delivery Log'!$S$8:$S$157,'Invoice &amp; Delivery Log'!$B$8:$B$157,$A42))</f>
        <v/>
      </c>
      <c r="N42" s="31" t="str">
        <f aca="false">IF($A42="","",IFERROR(COUNTIFS('Invoice &amp; Delivery Log'!$B$8:$B$157,$A42,'Invoice &amp; Delivery Log'!$V$8:$V$157,"On Time")/(COUNTIFS('Invoice &amp; Delivery Log'!$B$8:$B$157,$A42,'Invoice &amp; Delivery Log'!$V$8:$V$157,"On Time")+COUNTIFS('Invoice &amp; Delivery Log'!$B$8:$B$157,$A42,'Invoice &amp; Delivery Log'!$V$8:$V$157,"Late")),""))</f>
        <v/>
      </c>
      <c r="O42" s="31" t="str">
        <f aca="false">IF($A42="","",IFERROR(COUNTIFS('Invoice &amp; Delivery Log'!$B$8:$B$157,$A42,'Invoice &amp; Delivery Log'!$K$8:$K$157,"Received in Full")/$I42,""))</f>
        <v/>
      </c>
      <c r="P42" s="47" t="str">
        <f aca="false">IF($A42="","",IFERROR(ROUND(AVERAGEIFS('Payments Log'!$L$8:$L$207,'Payments Log'!$C$8:$C$207,$A42,'Payments Log'!$L$8:$L$207,"&gt;=0"),0),""))</f>
        <v/>
      </c>
      <c r="Q42" s="31" t="str">
        <f aca="false">IF(OR($A42="",$I42=0),"",Settings!$C$14*IF($N42="",0,$N42)+Settings!$C$15*IF($O42="",0,$O42))</f>
        <v/>
      </c>
      <c r="R42" s="36" t="str">
        <f aca="false">IF($Q42="","",IF($Q42&gt;=Settings!$C$17,"A",IF($Q42&gt;=Settings!$C$18,"B",IF($Q42&gt;=Settings!$C$19,"C","D"))))</f>
        <v/>
      </c>
      <c r="S42" s="48" t="str">
        <f aca="false">IF($A42="","",$L42+ROW()/1000000)</f>
        <v/>
      </c>
    </row>
    <row r="43" customFormat="false" ht="15" hidden="false" customHeight="true" outlineLevel="0" collapsed="false">
      <c r="A43" s="44"/>
      <c r="B43" s="45"/>
      <c r="C43" s="45"/>
      <c r="D43" s="45"/>
      <c r="E43" s="45"/>
      <c r="F43" s="45"/>
      <c r="G43" s="46"/>
      <c r="H43" s="44"/>
      <c r="I43" s="49" t="str">
        <f aca="false">IF($A43="","",COUNTIFS('Invoice &amp; Delivery Log'!$B$8:$B$157,$A43))</f>
        <v/>
      </c>
      <c r="J43" s="50" t="str">
        <f aca="false">IF($A43="","",SUMIFS('Invoice &amp; Delivery Log'!$N$8:$N$157,'Invoice &amp; Delivery Log'!$B$8:$B$157,$A43))</f>
        <v/>
      </c>
      <c r="K43" s="50" t="str">
        <f aca="false">IF($A43="","",SUMIFS('Invoice &amp; Delivery Log'!$O$8:$O$157,'Invoice &amp; Delivery Log'!$B$8:$B$157,$A43))</f>
        <v/>
      </c>
      <c r="L43" s="50" t="str">
        <f aca="false">IF($A43="","",SUMIFS('Invoice &amp; Delivery Log'!$P$8:$P$157,'Invoice &amp; Delivery Log'!$B$8:$B$157,$A43))</f>
        <v/>
      </c>
      <c r="M43" s="50" t="str">
        <f aca="false">IF($A43="","",SUMIFS('Invoice &amp; Delivery Log'!$S$8:$S$157,'Invoice &amp; Delivery Log'!$B$8:$B$157,$A43))</f>
        <v/>
      </c>
      <c r="N43" s="51" t="str">
        <f aca="false">IF($A43="","",IFERROR(COUNTIFS('Invoice &amp; Delivery Log'!$B$8:$B$157,$A43,'Invoice &amp; Delivery Log'!$V$8:$V$157,"On Time")/(COUNTIFS('Invoice &amp; Delivery Log'!$B$8:$B$157,$A43,'Invoice &amp; Delivery Log'!$V$8:$V$157,"On Time")+COUNTIFS('Invoice &amp; Delivery Log'!$B$8:$B$157,$A43,'Invoice &amp; Delivery Log'!$V$8:$V$157,"Late")),""))</f>
        <v/>
      </c>
      <c r="O43" s="51" t="str">
        <f aca="false">IF($A43="","",IFERROR(COUNTIFS('Invoice &amp; Delivery Log'!$B$8:$B$157,$A43,'Invoice &amp; Delivery Log'!$K$8:$K$157,"Received in Full")/$I43,""))</f>
        <v/>
      </c>
      <c r="P43" s="52" t="str">
        <f aca="false">IF($A43="","",IFERROR(ROUND(AVERAGEIFS('Payments Log'!$L$8:$L$207,'Payments Log'!$C$8:$C$207,$A43,'Payments Log'!$L$8:$L$207,"&gt;=0"),0),""))</f>
        <v/>
      </c>
      <c r="Q43" s="51" t="str">
        <f aca="false">IF(OR($A43="",$I43=0),"",Settings!$C$14*IF($N43="",0,$N43)+Settings!$C$15*IF($O43="",0,$O43))</f>
        <v/>
      </c>
      <c r="R43" s="53" t="str">
        <f aca="false">IF($Q43="","",IF($Q43&gt;=Settings!$C$17,"A",IF($Q43&gt;=Settings!$C$18,"B",IF($Q43&gt;=Settings!$C$19,"C","D"))))</f>
        <v/>
      </c>
      <c r="S43" s="54" t="str">
        <f aca="false">IF($A43="","",$L43+ROW()/1000000)</f>
        <v/>
      </c>
    </row>
    <row r="44" customFormat="false" ht="15" hidden="false" customHeight="true" outlineLevel="0" collapsed="false">
      <c r="A44" s="44"/>
      <c r="B44" s="45"/>
      <c r="C44" s="45"/>
      <c r="D44" s="45"/>
      <c r="E44" s="45"/>
      <c r="F44" s="45"/>
      <c r="G44" s="46"/>
      <c r="H44" s="44"/>
      <c r="I44" s="29" t="str">
        <f aca="false">IF($A44="","",COUNTIFS('Invoice &amp; Delivery Log'!$B$8:$B$157,$A44))</f>
        <v/>
      </c>
      <c r="J44" s="30" t="str">
        <f aca="false">IF($A44="","",SUMIFS('Invoice &amp; Delivery Log'!$N$8:$N$157,'Invoice &amp; Delivery Log'!$B$8:$B$157,$A44))</f>
        <v/>
      </c>
      <c r="K44" s="30" t="str">
        <f aca="false">IF($A44="","",SUMIFS('Invoice &amp; Delivery Log'!$O$8:$O$157,'Invoice &amp; Delivery Log'!$B$8:$B$157,$A44))</f>
        <v/>
      </c>
      <c r="L44" s="30" t="str">
        <f aca="false">IF($A44="","",SUMIFS('Invoice &amp; Delivery Log'!$P$8:$P$157,'Invoice &amp; Delivery Log'!$B$8:$B$157,$A44))</f>
        <v/>
      </c>
      <c r="M44" s="30" t="str">
        <f aca="false">IF($A44="","",SUMIFS('Invoice &amp; Delivery Log'!$S$8:$S$157,'Invoice &amp; Delivery Log'!$B$8:$B$157,$A44))</f>
        <v/>
      </c>
      <c r="N44" s="31" t="str">
        <f aca="false">IF($A44="","",IFERROR(COUNTIFS('Invoice &amp; Delivery Log'!$B$8:$B$157,$A44,'Invoice &amp; Delivery Log'!$V$8:$V$157,"On Time")/(COUNTIFS('Invoice &amp; Delivery Log'!$B$8:$B$157,$A44,'Invoice &amp; Delivery Log'!$V$8:$V$157,"On Time")+COUNTIFS('Invoice &amp; Delivery Log'!$B$8:$B$157,$A44,'Invoice &amp; Delivery Log'!$V$8:$V$157,"Late")),""))</f>
        <v/>
      </c>
      <c r="O44" s="31" t="str">
        <f aca="false">IF($A44="","",IFERROR(COUNTIFS('Invoice &amp; Delivery Log'!$B$8:$B$157,$A44,'Invoice &amp; Delivery Log'!$K$8:$K$157,"Received in Full")/$I44,""))</f>
        <v/>
      </c>
      <c r="P44" s="47" t="str">
        <f aca="false">IF($A44="","",IFERROR(ROUND(AVERAGEIFS('Payments Log'!$L$8:$L$207,'Payments Log'!$C$8:$C$207,$A44,'Payments Log'!$L$8:$L$207,"&gt;=0"),0),""))</f>
        <v/>
      </c>
      <c r="Q44" s="31" t="str">
        <f aca="false">IF(OR($A44="",$I44=0),"",Settings!$C$14*IF($N44="",0,$N44)+Settings!$C$15*IF($O44="",0,$O44))</f>
        <v/>
      </c>
      <c r="R44" s="36" t="str">
        <f aca="false">IF($Q44="","",IF($Q44&gt;=Settings!$C$17,"A",IF($Q44&gt;=Settings!$C$18,"B",IF($Q44&gt;=Settings!$C$19,"C","D"))))</f>
        <v/>
      </c>
      <c r="S44" s="48" t="str">
        <f aca="false">IF($A44="","",$L44+ROW()/1000000)</f>
        <v/>
      </c>
    </row>
    <row r="45" customFormat="false" ht="15" hidden="false" customHeight="true" outlineLevel="0" collapsed="false">
      <c r="A45" s="44"/>
      <c r="B45" s="45"/>
      <c r="C45" s="45"/>
      <c r="D45" s="45"/>
      <c r="E45" s="45"/>
      <c r="F45" s="45"/>
      <c r="G45" s="46"/>
      <c r="H45" s="44"/>
      <c r="I45" s="49" t="str">
        <f aca="false">IF($A45="","",COUNTIFS('Invoice &amp; Delivery Log'!$B$8:$B$157,$A45))</f>
        <v/>
      </c>
      <c r="J45" s="50" t="str">
        <f aca="false">IF($A45="","",SUMIFS('Invoice &amp; Delivery Log'!$N$8:$N$157,'Invoice &amp; Delivery Log'!$B$8:$B$157,$A45))</f>
        <v/>
      </c>
      <c r="K45" s="50" t="str">
        <f aca="false">IF($A45="","",SUMIFS('Invoice &amp; Delivery Log'!$O$8:$O$157,'Invoice &amp; Delivery Log'!$B$8:$B$157,$A45))</f>
        <v/>
      </c>
      <c r="L45" s="50" t="str">
        <f aca="false">IF($A45="","",SUMIFS('Invoice &amp; Delivery Log'!$P$8:$P$157,'Invoice &amp; Delivery Log'!$B$8:$B$157,$A45))</f>
        <v/>
      </c>
      <c r="M45" s="50" t="str">
        <f aca="false">IF($A45="","",SUMIFS('Invoice &amp; Delivery Log'!$S$8:$S$157,'Invoice &amp; Delivery Log'!$B$8:$B$157,$A45))</f>
        <v/>
      </c>
      <c r="N45" s="51" t="str">
        <f aca="false">IF($A45="","",IFERROR(COUNTIFS('Invoice &amp; Delivery Log'!$B$8:$B$157,$A45,'Invoice &amp; Delivery Log'!$V$8:$V$157,"On Time")/(COUNTIFS('Invoice &amp; Delivery Log'!$B$8:$B$157,$A45,'Invoice &amp; Delivery Log'!$V$8:$V$157,"On Time")+COUNTIFS('Invoice &amp; Delivery Log'!$B$8:$B$157,$A45,'Invoice &amp; Delivery Log'!$V$8:$V$157,"Late")),""))</f>
        <v/>
      </c>
      <c r="O45" s="51" t="str">
        <f aca="false">IF($A45="","",IFERROR(COUNTIFS('Invoice &amp; Delivery Log'!$B$8:$B$157,$A45,'Invoice &amp; Delivery Log'!$K$8:$K$157,"Received in Full")/$I45,""))</f>
        <v/>
      </c>
      <c r="P45" s="52" t="str">
        <f aca="false">IF($A45="","",IFERROR(ROUND(AVERAGEIFS('Payments Log'!$L$8:$L$207,'Payments Log'!$C$8:$C$207,$A45,'Payments Log'!$L$8:$L$207,"&gt;=0"),0),""))</f>
        <v/>
      </c>
      <c r="Q45" s="51" t="str">
        <f aca="false">IF(OR($A45="",$I45=0),"",Settings!$C$14*IF($N45="",0,$N45)+Settings!$C$15*IF($O45="",0,$O45))</f>
        <v/>
      </c>
      <c r="R45" s="53" t="str">
        <f aca="false">IF($Q45="","",IF($Q45&gt;=Settings!$C$17,"A",IF($Q45&gt;=Settings!$C$18,"B",IF($Q45&gt;=Settings!$C$19,"C","D"))))</f>
        <v/>
      </c>
      <c r="S45" s="54" t="str">
        <f aca="false">IF($A45="","",$L45+ROW()/1000000)</f>
        <v/>
      </c>
    </row>
    <row r="46" customFormat="false" ht="15" hidden="false" customHeight="true" outlineLevel="0" collapsed="false">
      <c r="A46" s="44"/>
      <c r="B46" s="45"/>
      <c r="C46" s="45"/>
      <c r="D46" s="45"/>
      <c r="E46" s="45"/>
      <c r="F46" s="45"/>
      <c r="G46" s="46"/>
      <c r="H46" s="44"/>
      <c r="I46" s="29" t="str">
        <f aca="false">IF($A46="","",COUNTIFS('Invoice &amp; Delivery Log'!$B$8:$B$157,$A46))</f>
        <v/>
      </c>
      <c r="J46" s="30" t="str">
        <f aca="false">IF($A46="","",SUMIFS('Invoice &amp; Delivery Log'!$N$8:$N$157,'Invoice &amp; Delivery Log'!$B$8:$B$157,$A46))</f>
        <v/>
      </c>
      <c r="K46" s="30" t="str">
        <f aca="false">IF($A46="","",SUMIFS('Invoice &amp; Delivery Log'!$O$8:$O$157,'Invoice &amp; Delivery Log'!$B$8:$B$157,$A46))</f>
        <v/>
      </c>
      <c r="L46" s="30" t="str">
        <f aca="false">IF($A46="","",SUMIFS('Invoice &amp; Delivery Log'!$P$8:$P$157,'Invoice &amp; Delivery Log'!$B$8:$B$157,$A46))</f>
        <v/>
      </c>
      <c r="M46" s="30" t="str">
        <f aca="false">IF($A46="","",SUMIFS('Invoice &amp; Delivery Log'!$S$8:$S$157,'Invoice &amp; Delivery Log'!$B$8:$B$157,$A46))</f>
        <v/>
      </c>
      <c r="N46" s="31" t="str">
        <f aca="false">IF($A46="","",IFERROR(COUNTIFS('Invoice &amp; Delivery Log'!$B$8:$B$157,$A46,'Invoice &amp; Delivery Log'!$V$8:$V$157,"On Time")/(COUNTIFS('Invoice &amp; Delivery Log'!$B$8:$B$157,$A46,'Invoice &amp; Delivery Log'!$V$8:$V$157,"On Time")+COUNTIFS('Invoice &amp; Delivery Log'!$B$8:$B$157,$A46,'Invoice &amp; Delivery Log'!$V$8:$V$157,"Late")),""))</f>
        <v/>
      </c>
      <c r="O46" s="31" t="str">
        <f aca="false">IF($A46="","",IFERROR(COUNTIFS('Invoice &amp; Delivery Log'!$B$8:$B$157,$A46,'Invoice &amp; Delivery Log'!$K$8:$K$157,"Received in Full")/$I46,""))</f>
        <v/>
      </c>
      <c r="P46" s="47" t="str">
        <f aca="false">IF($A46="","",IFERROR(ROUND(AVERAGEIFS('Payments Log'!$L$8:$L$207,'Payments Log'!$C$8:$C$207,$A46,'Payments Log'!$L$8:$L$207,"&gt;=0"),0),""))</f>
        <v/>
      </c>
      <c r="Q46" s="31" t="str">
        <f aca="false">IF(OR($A46="",$I46=0),"",Settings!$C$14*IF($N46="",0,$N46)+Settings!$C$15*IF($O46="",0,$O46))</f>
        <v/>
      </c>
      <c r="R46" s="36" t="str">
        <f aca="false">IF($Q46="","",IF($Q46&gt;=Settings!$C$17,"A",IF($Q46&gt;=Settings!$C$18,"B",IF($Q46&gt;=Settings!$C$19,"C","D"))))</f>
        <v/>
      </c>
      <c r="S46" s="48" t="str">
        <f aca="false">IF($A46="","",$L46+ROW()/1000000)</f>
        <v/>
      </c>
    </row>
    <row r="47" customFormat="false" ht="15" hidden="false" customHeight="true" outlineLevel="0" collapsed="false">
      <c r="A47" s="44"/>
      <c r="B47" s="45"/>
      <c r="C47" s="45"/>
      <c r="D47" s="45"/>
      <c r="E47" s="45"/>
      <c r="F47" s="45"/>
      <c r="G47" s="46"/>
      <c r="H47" s="44"/>
      <c r="I47" s="49" t="str">
        <f aca="false">IF($A47="","",COUNTIFS('Invoice &amp; Delivery Log'!$B$8:$B$157,$A47))</f>
        <v/>
      </c>
      <c r="J47" s="50" t="str">
        <f aca="false">IF($A47="","",SUMIFS('Invoice &amp; Delivery Log'!$N$8:$N$157,'Invoice &amp; Delivery Log'!$B$8:$B$157,$A47))</f>
        <v/>
      </c>
      <c r="K47" s="50" t="str">
        <f aca="false">IF($A47="","",SUMIFS('Invoice &amp; Delivery Log'!$O$8:$O$157,'Invoice &amp; Delivery Log'!$B$8:$B$157,$A47))</f>
        <v/>
      </c>
      <c r="L47" s="50" t="str">
        <f aca="false">IF($A47="","",SUMIFS('Invoice &amp; Delivery Log'!$P$8:$P$157,'Invoice &amp; Delivery Log'!$B$8:$B$157,$A47))</f>
        <v/>
      </c>
      <c r="M47" s="50" t="str">
        <f aca="false">IF($A47="","",SUMIFS('Invoice &amp; Delivery Log'!$S$8:$S$157,'Invoice &amp; Delivery Log'!$B$8:$B$157,$A47))</f>
        <v/>
      </c>
      <c r="N47" s="51" t="str">
        <f aca="false">IF($A47="","",IFERROR(COUNTIFS('Invoice &amp; Delivery Log'!$B$8:$B$157,$A47,'Invoice &amp; Delivery Log'!$V$8:$V$157,"On Time")/(COUNTIFS('Invoice &amp; Delivery Log'!$B$8:$B$157,$A47,'Invoice &amp; Delivery Log'!$V$8:$V$157,"On Time")+COUNTIFS('Invoice &amp; Delivery Log'!$B$8:$B$157,$A47,'Invoice &amp; Delivery Log'!$V$8:$V$157,"Late")),""))</f>
        <v/>
      </c>
      <c r="O47" s="51" t="str">
        <f aca="false">IF($A47="","",IFERROR(COUNTIFS('Invoice &amp; Delivery Log'!$B$8:$B$157,$A47,'Invoice &amp; Delivery Log'!$K$8:$K$157,"Received in Full")/$I47,""))</f>
        <v/>
      </c>
      <c r="P47" s="52" t="str">
        <f aca="false">IF($A47="","",IFERROR(ROUND(AVERAGEIFS('Payments Log'!$L$8:$L$207,'Payments Log'!$C$8:$C$207,$A47,'Payments Log'!$L$8:$L$207,"&gt;=0"),0),""))</f>
        <v/>
      </c>
      <c r="Q47" s="51" t="str">
        <f aca="false">IF(OR($A47="",$I47=0),"",Settings!$C$14*IF($N47="",0,$N47)+Settings!$C$15*IF($O47="",0,$O47))</f>
        <v/>
      </c>
      <c r="R47" s="53" t="str">
        <f aca="false">IF($Q47="","",IF($Q47&gt;=Settings!$C$17,"A",IF($Q47&gt;=Settings!$C$18,"B",IF($Q47&gt;=Settings!$C$19,"C","D"))))</f>
        <v/>
      </c>
      <c r="S47" s="54" t="str">
        <f aca="false">IF($A47="","",$L47+ROW()/1000000)</f>
        <v/>
      </c>
    </row>
  </sheetData>
  <autoFilter ref="A7:R47"/>
  <mergeCells count="2">
    <mergeCell ref="A1:S1"/>
    <mergeCell ref="A2:S2"/>
  </mergeCells>
  <conditionalFormatting sqref="R8:R47">
    <cfRule type="expression" priority="2" aboveAverage="0" equalAverage="0" bottom="0" percent="0" rank="0" text="" dxfId="22">
      <formula>$R8="A"</formula>
    </cfRule>
    <cfRule type="expression" priority="3" aboveAverage="0" equalAverage="0" bottom="0" percent="0" rank="0" text="" dxfId="23">
      <formula>$R8="B"</formula>
    </cfRule>
    <cfRule type="expression" priority="4" aboveAverage="0" equalAverage="0" bottom="0" percent="0" rank="0" text="" dxfId="24">
      <formula>$R8="C"</formula>
    </cfRule>
    <cfRule type="expression" priority="5" aboveAverage="0" equalAverage="0" bottom="0" percent="0" rank="0" text="" dxfId="5">
      <formula>$R8="D"</formula>
    </cfRule>
  </conditionalFormatting>
  <conditionalFormatting sqref="M8:M47">
    <cfRule type="expression" priority="6" aboveAverage="0" equalAverage="0" bottom="0" percent="0" rank="0" text="" dxfId="5">
      <formula>N($M8)&gt;0</formula>
    </cfRule>
  </conditionalFormatting>
  <conditionalFormatting sqref="A8:H47">
    <cfRule type="expression" priority="7" aboveAverage="0" equalAverage="0" bottom="0" percent="0" rank="0" text="" dxfId="25">
      <formula>$H8="Inactive"</formula>
    </cfRule>
  </conditionalFormatting>
  <dataValidations count="3">
    <dataValidation allowBlank="true" error="Choose Active or Inactive." errorStyle="stop" errorTitle="Vendor Status" operator="between" showDropDown="false" showErrorMessage="false" showInputMessage="false" sqref="H8:H47" type="list">
      <formula1>Settings!$B$27:$B$40</formula1>
      <formula2>0</formula2>
    </dataValidation>
    <dataValidation allowBlank="true" error="Pick a category from Settings." errorStyle="stop" errorTitle="Category" operator="between" showDropDown="false" showErrorMessage="false" showInputMessage="false" sqref="C8:C47" type="list">
      <formula1>Settings!$E$27:$E$40</formula1>
      <formula2>0</formula2>
    </dataValidation>
    <dataValidation allowBlank="true" error="Payment terms must be between 0 and 365 days." errorStyle="stop" errorTitle="Payment Terms" operator="between" showDropDown="false" showErrorMessage="false" showInputMessage="false" sqref="G8:G47" type="whole">
      <formula1>0</formula1>
      <formula2>365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VendorFlow — Supplier Invoice, Payment &amp;&amp; Performance System&amp;R&amp;8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A88"/>
    <pageSetUpPr fitToPage="true"/>
  </sheetPr>
  <dimension ref="A1:Z15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8"/>
    <col collapsed="false" customWidth="true" hidden="false" outlineLevel="0" max="7" min="7" style="1" width="26"/>
    <col collapsed="false" customWidth="true" hidden="false" outlineLevel="0" max="8" min="8" style="1" width="11"/>
    <col collapsed="false" customWidth="true" hidden="false" outlineLevel="0" max="10" min="9" style="1" width="12"/>
    <col collapsed="false" customWidth="true" hidden="false" outlineLevel="0" max="11" min="11" style="1" width="15"/>
    <col collapsed="false" customWidth="true" hidden="false" outlineLevel="0" max="13" min="12" style="1" width="11"/>
    <col collapsed="false" customWidth="true" hidden="false" outlineLevel="0" max="15" min="14" style="1" width="13"/>
    <col collapsed="false" customWidth="true" hidden="false" outlineLevel="0" max="16" min="16" style="1" width="14"/>
    <col collapsed="false" customWidth="true" hidden="false" outlineLevel="0" max="17" min="17" style="1" width="15"/>
    <col collapsed="false" customWidth="true" hidden="false" outlineLevel="0" max="18" min="18" style="1" width="10"/>
    <col collapsed="false" customWidth="true" hidden="false" outlineLevel="0" max="19" min="19" style="1" width="14"/>
    <col collapsed="false" customWidth="true" hidden="false" outlineLevel="0" max="21" min="20" style="1" width="19"/>
    <col collapsed="false" customWidth="true" hidden="false" outlineLevel="0" max="22" min="22" style="1" width="16"/>
    <col collapsed="false" customWidth="true" hidden="false" outlineLevel="0" max="23" min="23" style="1" width="11"/>
    <col collapsed="false" customWidth="true" hidden="false" outlineLevel="0" max="24" min="24" style="1" width="38"/>
    <col collapsed="false" customWidth="true" hidden="true" outlineLevel="0" max="25" min="25" style="1" width="8"/>
    <col collapsed="false" customWidth="true" hidden="true" outlineLevel="0" max="26" min="26" style="1" width="9"/>
  </cols>
  <sheetData>
    <row r="1" customFormat="false" ht="30" hidden="false" customHeight="true" outlineLevel="0" collapsed="false">
      <c r="A1" s="2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8" hidden="false" customHeight="true" outlineLevel="0" collapsed="false">
      <c r="A2" s="3" t="s">
        <v>214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4" customFormat="false" ht="15" hidden="false" customHeight="true" outlineLevel="0" collapsed="false">
      <c r="A4" s="41" t="s">
        <v>215</v>
      </c>
    </row>
    <row r="5" customFormat="false" ht="15" hidden="false" customHeight="true" outlineLevel="0" collapsed="false">
      <c r="A5" s="40" t="s">
        <v>216</v>
      </c>
    </row>
    <row r="7" customFormat="false" ht="31.5" hidden="false" customHeight="true" outlineLevel="0" collapsed="false">
      <c r="A7" s="42" t="s">
        <v>113</v>
      </c>
      <c r="B7" s="42" t="s">
        <v>124</v>
      </c>
      <c r="C7" s="43" t="s">
        <v>109</v>
      </c>
      <c r="D7" s="42" t="s">
        <v>217</v>
      </c>
      <c r="E7" s="42" t="s">
        <v>218</v>
      </c>
      <c r="F7" s="43" t="s">
        <v>125</v>
      </c>
      <c r="G7" s="42" t="s">
        <v>219</v>
      </c>
      <c r="H7" s="42" t="s">
        <v>220</v>
      </c>
      <c r="I7" s="42" t="s">
        <v>221</v>
      </c>
      <c r="J7" s="42" t="s">
        <v>222</v>
      </c>
      <c r="K7" s="42" t="s">
        <v>223</v>
      </c>
      <c r="L7" s="43" t="s">
        <v>129</v>
      </c>
      <c r="M7" s="43" t="s">
        <v>114</v>
      </c>
      <c r="N7" s="43" t="s">
        <v>224</v>
      </c>
      <c r="O7" s="43" t="s">
        <v>225</v>
      </c>
      <c r="P7" s="43" t="s">
        <v>133</v>
      </c>
      <c r="Q7" s="43" t="s">
        <v>89</v>
      </c>
      <c r="R7" s="43" t="s">
        <v>226</v>
      </c>
      <c r="S7" s="43" t="s">
        <v>134</v>
      </c>
      <c r="T7" s="43" t="s">
        <v>85</v>
      </c>
      <c r="U7" s="43" t="s">
        <v>227</v>
      </c>
      <c r="V7" s="43" t="s">
        <v>228</v>
      </c>
      <c r="W7" s="43" t="s">
        <v>229</v>
      </c>
      <c r="X7" s="43" t="s">
        <v>230</v>
      </c>
      <c r="Y7" s="43" t="s">
        <v>231</v>
      </c>
      <c r="Z7" s="43" t="s">
        <v>232</v>
      </c>
    </row>
    <row r="8" customFormat="false" ht="15" hidden="false" customHeight="true" outlineLevel="0" collapsed="false">
      <c r="A8" s="44" t="s">
        <v>233</v>
      </c>
      <c r="B8" s="44" t="s">
        <v>196</v>
      </c>
      <c r="C8" s="55" t="str">
        <f aca="false">IF($B8="","",IFERROR(INDEX('Vendor Master'!$B$8:$B$47,MATCH($B8,'Vendor Master'!$A$8:$A$47,0)),"NOT FOUND"))</f>
        <v>Copperfield Textiles</v>
      </c>
      <c r="D8" s="44" t="s">
        <v>234</v>
      </c>
      <c r="E8" s="45" t="s">
        <v>235</v>
      </c>
      <c r="F8" s="55" t="str">
        <f aca="false">IF($B8="","",IFERROR(INDEX('Vendor Master'!$C$8:$C$47,MATCH($B8,'Vendor Master'!$A$8:$A$47,0)),""))</f>
        <v>Textiles</v>
      </c>
      <c r="G8" s="45" t="s">
        <v>236</v>
      </c>
      <c r="H8" s="56" t="n">
        <v>46084</v>
      </c>
      <c r="I8" s="56" t="n">
        <v>46084</v>
      </c>
      <c r="J8" s="56" t="n">
        <v>46084</v>
      </c>
      <c r="K8" s="44" t="s">
        <v>237</v>
      </c>
      <c r="L8" s="57" t="n">
        <f aca="false">IF($B8="","",IFERROR(INDEX('Vendor Master'!$G$8:$G$47,MATCH($B8,'Vendor Master'!$A$8:$A$47,0)),""))</f>
        <v>60</v>
      </c>
      <c r="M8" s="37" t="n">
        <f aca="false">IF(OR($H8="",$L8=""),"",$H8+$L8)</f>
        <v>46144</v>
      </c>
      <c r="N8" s="58" t="n">
        <v>4269.92</v>
      </c>
      <c r="O8" s="30" t="n">
        <f aca="false">IF($A8="","",SUMIFS('Payments Log'!$F$8:$F$207,'Payments Log'!$B$8:$B$207,$A8))</f>
        <v>4782.31</v>
      </c>
      <c r="P8" s="30" t="n">
        <f aca="false">IF($A8="","",ROUND($N8-$O8,2))</f>
        <v>-512.39</v>
      </c>
      <c r="Q8" s="36" t="str">
        <f aca="false">IF($A8="","",IF(N($N8)&lt;=0,"Check Amount",IF(ROUND($O8,2)&lt;=0,"Unpaid",IF(ROUND($O8-$N8,2)&gt;0,"Overpaid",IF(ROUND($P8,2)&lt;=0,"Paid","Partially Paid")))))</f>
        <v>Overpaid</v>
      </c>
      <c r="R8" s="47" t="n">
        <f aca="false">IF(OR($A8="",$M8=""),"",IF(ROUND($P8,2)&lt;=0,0,MAX(0,Settings!$C$5-$M8-Settings!$C$7)))</f>
        <v>0</v>
      </c>
      <c r="S8" s="30" t="n">
        <f aca="false">IF($A8="","",IF(N($R8)&gt;0,MAX($P8,0),0))</f>
        <v>0</v>
      </c>
      <c r="T8" s="36" t="str">
        <f aca="false">IF($A8="","",IF(ROUND($P8,2)&lt;0,"Supplier Credit",IF(ROUND($P8,2)=0,"Closed",IF($M8="","No Due Date",IF(N($R8)&lt;=0,"Not Due Yet",IF(N($R8)&lt;=Settings!$C$8,"1-30 Days Overdue",IF(N($R8)&lt;=Settings!$C$9,"31-60 Days Overdue",IF(N($R8)&lt;=Settings!$C$10,"61-90 Days Overdue","90+ Days Overdue"))))))))</f>
        <v>Supplier Credit</v>
      </c>
      <c r="U8" s="37" t="n">
        <f aca="false">IF($A8="","",IF(COUNTIFS('Payments Log'!$B$8:$B$207,$A8)=0,"",SUMPRODUCT(MAX(('Payments Log'!$B$8:$B$207=$A8)*'Payments Log'!$E$8:$E$207))))</f>
        <v>46154</v>
      </c>
      <c r="V8" s="36" t="str">
        <f aca="false">IF($A8="","",IF($J8="","Not Delivered",IF($I8="","No Target Date",IF($J8&lt;=$I8,"On Time","Late"))))</f>
        <v>On Time</v>
      </c>
      <c r="W8" s="36" t="str">
        <f aca="false">IF($A8="","",IF($X8="","OK","REVIEW"))</f>
        <v>REVIEW</v>
      </c>
      <c r="X8" s="28" t="str">
        <f aca="false">IF($A8="","",TRIM(IF($B8="","Missing vendor ID. ","")&amp;IF($C8="NOT FOUND","Vendor ID not in Vendor Master. ","")&amp;IF(COUNTIFS('Invoice &amp; Delivery Log'!$A$8:$A$157,$A8)&gt;1,"Duplicate invoice ID. ","")&amp;IF(AND($D8&lt;&gt;"",COUNTIFS('Invoice &amp; Delivery Log'!$D$8:$D$157,$D8,'Invoice &amp; Delivery Log'!$B$8:$B$157,$B8)&gt;1),"Duplicate supplier invoice number. ","")&amp;IF($E8="","Missing PO number. ","")&amp;IF($H8="","Missing invoice date. ","")&amp;IF(N($N8)&lt;=0,"Invoice amount must be greater than zero. ","")&amp;IF(AND($H8&lt;&gt;"",$H8&gt;Settings!$C$5),"Invoice date is in the future. ","")&amp;IF(AND($K8="Received in Full",$J8=""),"Missing actual delivery date. ","")&amp;IF(ROUND(N($O8)-N($N8),2)&gt;0,"Payments exceed the invoice amount. ","")&amp;IF(AND($K8="Rejected",N($O8)&gt;0),"Payment made on a rejected delivery. ","")&amp;IF(AND($B8&lt;&gt;"",IFERROR(INDEX('Vendor Master'!$H$8:$H$47,MATCH($B8,'Vendor Master'!$A$8:$A$47,0)),"")="Inactive",ROUND(N($P8),2)&gt;0),"Open balance with an inactive vendor. ","")))</f>
        <v>Payments exceed the invoice amount.</v>
      </c>
      <c r="Y8" s="36" t="str">
        <f aca="false">IF($A8="","",IF(ROUND($P8,2)&gt;0.004,"Yes","No"))</f>
        <v>No</v>
      </c>
      <c r="Z8" s="29" t="str">
        <f aca="false">IF(OR($Y8&lt;&gt;"Yes",$M8=""),"",COUNTIFS('Invoice &amp; Delivery Log'!$Y$8:$Y$157,"Yes",'Invoice &amp; Delivery Log'!$M$8:$M$157,"&lt;"&amp;$M8)+COUNTIFS('Invoice &amp; Delivery Log'!$Y$8:$Y$157,"Yes",'Invoice &amp; Delivery Log'!$M$8:$M$157,$M8,'Invoice &amp; Delivery Log'!$A$8:$A$157,"&lt;"&amp;$A8)+1)</f>
        <v/>
      </c>
    </row>
    <row r="9" customFormat="false" ht="15" hidden="false" customHeight="true" outlineLevel="0" collapsed="false">
      <c r="A9" s="44" t="s">
        <v>238</v>
      </c>
      <c r="B9" s="44" t="s">
        <v>172</v>
      </c>
      <c r="C9" s="59" t="str">
        <f aca="false">IF($B9="","",IFERROR(INDEX('Vendor Master'!$B$8:$B$47,MATCH($B9,'Vendor Master'!$A$8:$A$47,0)),"NOT FOUND"))</f>
        <v>Harborline Logistics</v>
      </c>
      <c r="D9" s="44" t="s">
        <v>239</v>
      </c>
      <c r="E9" s="45" t="s">
        <v>240</v>
      </c>
      <c r="F9" s="59" t="str">
        <f aca="false">IF($B9="","",IFERROR(INDEX('Vendor Master'!$C$8:$C$47,MATCH($B9,'Vendor Master'!$A$8:$A$47,0)),""))</f>
        <v>Logistics</v>
      </c>
      <c r="G9" s="45" t="s">
        <v>241</v>
      </c>
      <c r="H9" s="56" t="n">
        <v>46085</v>
      </c>
      <c r="I9" s="56" t="n">
        <v>46084</v>
      </c>
      <c r="J9" s="56" t="n">
        <v>46084</v>
      </c>
      <c r="K9" s="44" t="s">
        <v>237</v>
      </c>
      <c r="L9" s="60" t="n">
        <f aca="false">IF($B9="","",IFERROR(INDEX('Vendor Master'!$G$8:$G$47,MATCH($B9,'Vendor Master'!$A$8:$A$47,0)),""))</f>
        <v>30</v>
      </c>
      <c r="M9" s="61" t="n">
        <f aca="false">IF(OR($H9="",$L9=""),"",$H9+$L9)</f>
        <v>46115</v>
      </c>
      <c r="N9" s="58" t="n">
        <v>5983.69</v>
      </c>
      <c r="O9" s="50" t="n">
        <f aca="false">IF($A9="","",SUMIFS('Payments Log'!$F$8:$F$207,'Payments Log'!$B$8:$B$207,$A9))</f>
        <v>5983.69</v>
      </c>
      <c r="P9" s="50" t="n">
        <f aca="false">IF($A9="","",ROUND($N9-$O9,2))</f>
        <v>0</v>
      </c>
      <c r="Q9" s="53" t="str">
        <f aca="false">IF($A9="","",IF(N($N9)&lt;=0,"Check Amount",IF(ROUND($O9,2)&lt;=0,"Unpaid",IF(ROUND($O9-$N9,2)&gt;0,"Overpaid",IF(ROUND($P9,2)&lt;=0,"Paid","Partially Paid")))))</f>
        <v>Paid</v>
      </c>
      <c r="R9" s="52" t="n">
        <f aca="false">IF(OR($A9="",$M9=""),"",IF(ROUND($P9,2)&lt;=0,0,MAX(0,Settings!$C$5-$M9-Settings!$C$7)))</f>
        <v>0</v>
      </c>
      <c r="S9" s="50" t="n">
        <f aca="false">IF($A9="","",IF(N($R9)&gt;0,MAX($P9,0),0))</f>
        <v>0</v>
      </c>
      <c r="T9" s="53" t="str">
        <f aca="false">IF($A9="","",IF(ROUND($P9,2)&lt;0,"Supplier Credit",IF(ROUND($P9,2)=0,"Closed",IF($M9="","No Due Date",IF(N($R9)&lt;=0,"Not Due Yet",IF(N($R9)&lt;=Settings!$C$8,"1-30 Days Overdue",IF(N($R9)&lt;=Settings!$C$9,"31-60 Days Overdue",IF(N($R9)&lt;=Settings!$C$10,"61-90 Days Overdue","90+ Days Overdue"))))))))</f>
        <v>Closed</v>
      </c>
      <c r="U9" s="61" t="n">
        <f aca="false">IF($A9="","",IF(COUNTIFS('Payments Log'!$B$8:$B$207,$A9)=0,"",SUMPRODUCT(MAX(('Payments Log'!$B$8:$B$207=$A9)*'Payments Log'!$E$8:$E$207))))</f>
        <v>46098</v>
      </c>
      <c r="V9" s="53" t="str">
        <f aca="false">IF($A9="","",IF($J9="","Not Delivered",IF($I9="","No Target Date",IF($J9&lt;=$I9,"On Time","Late"))))</f>
        <v>On Time</v>
      </c>
      <c r="W9" s="53" t="str">
        <f aca="false">IF($A9="","",IF($X9="","OK","REVIEW"))</f>
        <v>OK</v>
      </c>
      <c r="X9" s="62" t="str">
        <f aca="false">IF($A9="","",TRIM(IF($B9="","Missing vendor ID. ","")&amp;IF($C9="NOT FOUND","Vendor ID not in Vendor Master. ","")&amp;IF(COUNTIFS('Invoice &amp; Delivery Log'!$A$8:$A$157,$A9)&gt;1,"Duplicate invoice ID. ","")&amp;IF(AND($D9&lt;&gt;"",COUNTIFS('Invoice &amp; Delivery Log'!$D$8:$D$157,$D9,'Invoice &amp; Delivery Log'!$B$8:$B$157,$B9)&gt;1),"Duplicate supplier invoice number. ","")&amp;IF($E9="","Missing PO number. ","")&amp;IF($H9="","Missing invoice date. ","")&amp;IF(N($N9)&lt;=0,"Invoice amount must be greater than zero. ","")&amp;IF(AND($H9&lt;&gt;"",$H9&gt;Settings!$C$5),"Invoice date is in the future. ","")&amp;IF(AND($K9="Received in Full",$J9=""),"Missing actual delivery date. ","")&amp;IF(ROUND(N($O9)-N($N9),2)&gt;0,"Payments exceed the invoice amount. ","")&amp;IF(AND($K9="Rejected",N($O9)&gt;0),"Payment made on a rejected delivery. ","")&amp;IF(AND($B9&lt;&gt;"",IFERROR(INDEX('Vendor Master'!$H$8:$H$47,MATCH($B9,'Vendor Master'!$A$8:$A$47,0)),"")="Inactive",ROUND(N($P9),2)&gt;0),"Open balance with an inactive vendor. ","")))</f>
        <v/>
      </c>
      <c r="Y9" s="53" t="str">
        <f aca="false">IF($A9="","",IF(ROUND($P9,2)&gt;0.004,"Yes","No"))</f>
        <v>No</v>
      </c>
      <c r="Z9" s="49" t="str">
        <f aca="false">IF(OR($Y9&lt;&gt;"Yes",$M9=""),"",COUNTIFS('Invoice &amp; Delivery Log'!$Y$8:$Y$157,"Yes",'Invoice &amp; Delivery Log'!$M$8:$M$157,"&lt;"&amp;$M9)+COUNTIFS('Invoice &amp; Delivery Log'!$Y$8:$Y$157,"Yes",'Invoice &amp; Delivery Log'!$M$8:$M$157,$M9,'Invoice &amp; Delivery Log'!$A$8:$A$157,"&lt;"&amp;$A9)+1)</f>
        <v/>
      </c>
    </row>
    <row r="10" customFormat="false" ht="15" hidden="false" customHeight="true" outlineLevel="0" collapsed="false">
      <c r="A10" s="44" t="s">
        <v>242</v>
      </c>
      <c r="B10" s="44" t="s">
        <v>172</v>
      </c>
      <c r="C10" s="55" t="str">
        <f aca="false">IF($B10="","",IFERROR(INDEX('Vendor Master'!$B$8:$B$47,MATCH($B10,'Vendor Master'!$A$8:$A$47,0)),"NOT FOUND"))</f>
        <v>Harborline Logistics</v>
      </c>
      <c r="D10" s="44" t="s">
        <v>243</v>
      </c>
      <c r="E10" s="45" t="s">
        <v>244</v>
      </c>
      <c r="F10" s="55" t="str">
        <f aca="false">IF($B10="","",IFERROR(INDEX('Vendor Master'!$C$8:$C$47,MATCH($B10,'Vendor Master'!$A$8:$A$47,0)),""))</f>
        <v>Logistics</v>
      </c>
      <c r="G10" s="45" t="s">
        <v>241</v>
      </c>
      <c r="H10" s="56" t="n">
        <v>46091</v>
      </c>
      <c r="I10" s="56" t="n">
        <v>46086</v>
      </c>
      <c r="J10" s="56" t="n">
        <v>46091</v>
      </c>
      <c r="K10" s="44" t="s">
        <v>245</v>
      </c>
      <c r="L10" s="57" t="n">
        <f aca="false">IF($B10="","",IFERROR(INDEX('Vendor Master'!$G$8:$G$47,MATCH($B10,'Vendor Master'!$A$8:$A$47,0)),""))</f>
        <v>30</v>
      </c>
      <c r="M10" s="37" t="n">
        <f aca="false">IF(OR($H10="",$L10=""),"",$H10+$L10)</f>
        <v>46121</v>
      </c>
      <c r="N10" s="58" t="n">
        <v>6019.33</v>
      </c>
      <c r="O10" s="30" t="n">
        <f aca="false">IF($A10="","",SUMIFS('Payments Log'!$F$8:$F$207,'Payments Log'!$B$8:$B$207,$A10))</f>
        <v>0</v>
      </c>
      <c r="P10" s="30" t="n">
        <f aca="false">IF($A10="","",ROUND($N10-$O10,2))</f>
        <v>6019.33</v>
      </c>
      <c r="Q10" s="36" t="str">
        <f aca="false">IF($A10="","",IF(N($N10)&lt;=0,"Check Amount",IF(ROUND($O10,2)&lt;=0,"Unpaid",IF(ROUND($O10-$N10,2)&gt;0,"Overpaid",IF(ROUND($P10,2)&lt;=0,"Paid","Partially Paid")))))</f>
        <v>Unpaid</v>
      </c>
      <c r="R10" s="47" t="n">
        <f aca="false">IF(OR($A10="",$M10=""),"",IF(ROUND($P10,2)&lt;=0,0,MAX(0,Settings!$C$5-$M10-Settings!$C$7)))</f>
        <v>151</v>
      </c>
      <c r="S10" s="30" t="n">
        <f aca="false">IF($A10="","",IF(N($R10)&gt;0,MAX($P10,0),0))</f>
        <v>6019.33</v>
      </c>
      <c r="T10" s="36" t="str">
        <f aca="false">IF($A10="","",IF(ROUND($P10,2)&lt;0,"Supplier Credit",IF(ROUND($P10,2)=0,"Closed",IF($M10="","No Due Date",IF(N($R10)&lt;=0,"Not Due Yet",IF(N($R10)&lt;=Settings!$C$8,"1-30 Days Overdue",IF(N($R10)&lt;=Settings!$C$9,"31-60 Days Overdue",IF(N($R10)&lt;=Settings!$C$10,"61-90 Days Overdue","90+ Days Overdue"))))))))</f>
        <v>90+ Days Overdue</v>
      </c>
      <c r="U10" s="37" t="str">
        <f aca="false">IF($A10="","",IF(COUNTIFS('Payments Log'!$B$8:$B$207,$A10)=0,"",SUMPRODUCT(MAX(('Payments Log'!$B$8:$B$207=$A10)*'Payments Log'!$E$8:$E$207))))</f>
        <v/>
      </c>
      <c r="V10" s="36" t="str">
        <f aca="false">IF($A10="","",IF($J10="","Not Delivered",IF($I10="","No Target Date",IF($J10&lt;=$I10,"On Time","Late"))))</f>
        <v>Late</v>
      </c>
      <c r="W10" s="36" t="str">
        <f aca="false">IF($A10="","",IF($X10="","OK","REVIEW"))</f>
        <v>OK</v>
      </c>
      <c r="X10" s="28" t="str">
        <f aca="false">IF($A10="","",TRIM(IF($B10="","Missing vendor ID. ","")&amp;IF($C10="NOT FOUND","Vendor ID not in Vendor Master. ","")&amp;IF(COUNTIFS('Invoice &amp; Delivery Log'!$A$8:$A$157,$A10)&gt;1,"Duplicate invoice ID. ","")&amp;IF(AND($D10&lt;&gt;"",COUNTIFS('Invoice &amp; Delivery Log'!$D$8:$D$157,$D10,'Invoice &amp; Delivery Log'!$B$8:$B$157,$B10)&gt;1),"Duplicate supplier invoice number. ","")&amp;IF($E10="","Missing PO number. ","")&amp;IF($H10="","Missing invoice date. ","")&amp;IF(N($N10)&lt;=0,"Invoice amount must be greater than zero. ","")&amp;IF(AND($H10&lt;&gt;"",$H10&gt;Settings!$C$5),"Invoice date is in the future. ","")&amp;IF(AND($K10="Received in Full",$J10=""),"Missing actual delivery date. ","")&amp;IF(ROUND(N($O10)-N($N10),2)&gt;0,"Payments exceed the invoice amount. ","")&amp;IF(AND($K10="Rejected",N($O10)&gt;0),"Payment made on a rejected delivery. ","")&amp;IF(AND($B10&lt;&gt;"",IFERROR(INDEX('Vendor Master'!$H$8:$H$47,MATCH($B10,'Vendor Master'!$A$8:$A$47,0)),"")="Inactive",ROUND(N($P10),2)&gt;0),"Open balance with an inactive vendor. ","")))</f>
        <v/>
      </c>
      <c r="Y10" s="36" t="str">
        <f aca="false">IF($A10="","",IF(ROUND($P10,2)&gt;0.004,"Yes","No"))</f>
        <v>Yes</v>
      </c>
      <c r="Z10" s="29" t="n">
        <f aca="false">IF(OR($Y10&lt;&gt;"Yes",$M10=""),"",COUNTIFS('Invoice &amp; Delivery Log'!$Y$8:$Y$157,"Yes",'Invoice &amp; Delivery Log'!$M$8:$M$157,"&lt;"&amp;$M10)+COUNTIFS('Invoice &amp; Delivery Log'!$Y$8:$Y$157,"Yes",'Invoice &amp; Delivery Log'!$M$8:$M$157,$M10,'Invoice &amp; Delivery Log'!$A$8:$A$157,"&lt;"&amp;$A10)+1)</f>
        <v>1</v>
      </c>
    </row>
    <row r="11" customFormat="false" ht="15" hidden="false" customHeight="true" outlineLevel="0" collapsed="false">
      <c r="A11" s="44" t="s">
        <v>246</v>
      </c>
      <c r="B11" s="44" t="s">
        <v>148</v>
      </c>
      <c r="C11" s="59" t="str">
        <f aca="false">IF($B11="","",IFERROR(INDEX('Vendor Master'!$B$8:$B$47,MATCH($B11,'Vendor Master'!$A$8:$A$47,0)),"NOT FOUND"))</f>
        <v>Cascade Foods Distribution</v>
      </c>
      <c r="D11" s="44" t="s">
        <v>247</v>
      </c>
      <c r="E11" s="45" t="s">
        <v>248</v>
      </c>
      <c r="F11" s="59" t="str">
        <f aca="false">IF($B11="","",IFERROR(INDEX('Vendor Master'!$C$8:$C$47,MATCH($B11,'Vendor Master'!$A$8:$A$47,0)),""))</f>
        <v>Food &amp; Beverage</v>
      </c>
      <c r="G11" s="45" t="s">
        <v>249</v>
      </c>
      <c r="H11" s="56" t="n">
        <v>46090</v>
      </c>
      <c r="I11" s="56" t="n">
        <v>46090</v>
      </c>
      <c r="J11" s="56" t="n">
        <v>46090</v>
      </c>
      <c r="K11" s="44" t="s">
        <v>245</v>
      </c>
      <c r="L11" s="60" t="n">
        <f aca="false">IF($B11="","",IFERROR(INDEX('Vendor Master'!$G$8:$G$47,MATCH($B11,'Vendor Master'!$A$8:$A$47,0)),""))</f>
        <v>15</v>
      </c>
      <c r="M11" s="61" t="n">
        <f aca="false">IF(OR($H11="",$L11=""),"",$H11+$L11)</f>
        <v>46105</v>
      </c>
      <c r="N11" s="58" t="n">
        <v>3640.26</v>
      </c>
      <c r="O11" s="50" t="n">
        <f aca="false">IF($A11="","",SUMIFS('Payments Log'!$F$8:$F$207,'Payments Log'!$B$8:$B$207,$A11))</f>
        <v>3640.26</v>
      </c>
      <c r="P11" s="50" t="n">
        <f aca="false">IF($A11="","",ROUND($N11-$O11,2))</f>
        <v>0</v>
      </c>
      <c r="Q11" s="53" t="str">
        <f aca="false">IF($A11="","",IF(N($N11)&lt;=0,"Check Amount",IF(ROUND($O11,2)&lt;=0,"Unpaid",IF(ROUND($O11-$N11,2)&gt;0,"Overpaid",IF(ROUND($P11,2)&lt;=0,"Paid","Partially Paid")))))</f>
        <v>Paid</v>
      </c>
      <c r="R11" s="52" t="n">
        <f aca="false">IF(OR($A11="",$M11=""),"",IF(ROUND($P11,2)&lt;=0,0,MAX(0,Settings!$C$5-$M11-Settings!$C$7)))</f>
        <v>0</v>
      </c>
      <c r="S11" s="50" t="n">
        <f aca="false">IF($A11="","",IF(N($R11)&gt;0,MAX($P11,0),0))</f>
        <v>0</v>
      </c>
      <c r="T11" s="53" t="str">
        <f aca="false">IF($A11="","",IF(ROUND($P11,2)&lt;0,"Supplier Credit",IF(ROUND($P11,2)=0,"Closed",IF($M11="","No Due Date",IF(N($R11)&lt;=0,"Not Due Yet",IF(N($R11)&lt;=Settings!$C$8,"1-30 Days Overdue",IF(N($R11)&lt;=Settings!$C$9,"31-60 Days Overdue",IF(N($R11)&lt;=Settings!$C$10,"61-90 Days Overdue","90+ Days Overdue"))))))))</f>
        <v>Closed</v>
      </c>
      <c r="U11" s="61" t="n">
        <f aca="false">IF($A11="","",IF(COUNTIFS('Payments Log'!$B$8:$B$207,$A11)=0,"",SUMPRODUCT(MAX(('Payments Log'!$B$8:$B$207=$A11)*'Payments Log'!$E$8:$E$207))))</f>
        <v>46107</v>
      </c>
      <c r="V11" s="53" t="str">
        <f aca="false">IF($A11="","",IF($J11="","Not Delivered",IF($I11="","No Target Date",IF($J11&lt;=$I11,"On Time","Late"))))</f>
        <v>On Time</v>
      </c>
      <c r="W11" s="53" t="str">
        <f aca="false">IF($A11="","",IF($X11="","OK","REVIEW"))</f>
        <v>OK</v>
      </c>
      <c r="X11" s="62" t="str">
        <f aca="false">IF($A11="","",TRIM(IF($B11="","Missing vendor ID. ","")&amp;IF($C11="NOT FOUND","Vendor ID not in Vendor Master. ","")&amp;IF(COUNTIFS('Invoice &amp; Delivery Log'!$A$8:$A$157,$A11)&gt;1,"Duplicate invoice ID. ","")&amp;IF(AND($D11&lt;&gt;"",COUNTIFS('Invoice &amp; Delivery Log'!$D$8:$D$157,$D11,'Invoice &amp; Delivery Log'!$B$8:$B$157,$B11)&gt;1),"Duplicate supplier invoice number. ","")&amp;IF($E11="","Missing PO number. ","")&amp;IF($H11="","Missing invoice date. ","")&amp;IF(N($N11)&lt;=0,"Invoice amount must be greater than zero. ","")&amp;IF(AND($H11&lt;&gt;"",$H11&gt;Settings!$C$5),"Invoice date is in the future. ","")&amp;IF(AND($K11="Received in Full",$J11=""),"Missing actual delivery date. ","")&amp;IF(ROUND(N($O11)-N($N11),2)&gt;0,"Payments exceed the invoice amount. ","")&amp;IF(AND($K11="Rejected",N($O11)&gt;0),"Payment made on a rejected delivery. ","")&amp;IF(AND($B11&lt;&gt;"",IFERROR(INDEX('Vendor Master'!$H$8:$H$47,MATCH($B11,'Vendor Master'!$A$8:$A$47,0)),"")="Inactive",ROUND(N($P11),2)&gt;0),"Open balance with an inactive vendor. ","")))</f>
        <v/>
      </c>
      <c r="Y11" s="53" t="str">
        <f aca="false">IF($A11="","",IF(ROUND($P11,2)&gt;0.004,"Yes","No"))</f>
        <v>No</v>
      </c>
      <c r="Z11" s="49" t="str">
        <f aca="false">IF(OR($Y11&lt;&gt;"Yes",$M11=""),"",COUNTIFS('Invoice &amp; Delivery Log'!$Y$8:$Y$157,"Yes",'Invoice &amp; Delivery Log'!$M$8:$M$157,"&lt;"&amp;$M11)+COUNTIFS('Invoice &amp; Delivery Log'!$Y$8:$Y$157,"Yes",'Invoice &amp; Delivery Log'!$M$8:$M$157,$M11,'Invoice &amp; Delivery Log'!$A$8:$A$157,"&lt;"&amp;$A11)+1)</f>
        <v/>
      </c>
    </row>
    <row r="12" customFormat="false" ht="15" hidden="false" customHeight="true" outlineLevel="0" collapsed="false">
      <c r="A12" s="44" t="s">
        <v>250</v>
      </c>
      <c r="B12" s="44" t="s">
        <v>172</v>
      </c>
      <c r="C12" s="55" t="str">
        <f aca="false">IF($B12="","",IFERROR(INDEX('Vendor Master'!$B$8:$B$47,MATCH($B12,'Vendor Master'!$A$8:$A$47,0)),"NOT FOUND"))</f>
        <v>Harborline Logistics</v>
      </c>
      <c r="D12" s="44" t="s">
        <v>251</v>
      </c>
      <c r="E12" s="45" t="s">
        <v>252</v>
      </c>
      <c r="F12" s="55" t="str">
        <f aca="false">IF($B12="","",IFERROR(INDEX('Vendor Master'!$C$8:$C$47,MATCH($B12,'Vendor Master'!$A$8:$A$47,0)),""))</f>
        <v>Logistics</v>
      </c>
      <c r="G12" s="45" t="s">
        <v>253</v>
      </c>
      <c r="H12" s="56" t="n">
        <v>46094</v>
      </c>
      <c r="I12" s="56" t="n">
        <v>46094</v>
      </c>
      <c r="J12" s="56" t="n">
        <v>46094</v>
      </c>
      <c r="K12" s="44" t="s">
        <v>237</v>
      </c>
      <c r="L12" s="57" t="n">
        <f aca="false">IF($B12="","",IFERROR(INDEX('Vendor Master'!$G$8:$G$47,MATCH($B12,'Vendor Master'!$A$8:$A$47,0)),""))</f>
        <v>30</v>
      </c>
      <c r="M12" s="37" t="n">
        <f aca="false">IF(OR($H12="",$L12=""),"",$H12+$L12)</f>
        <v>46124</v>
      </c>
      <c r="N12" s="58" t="n">
        <v>4496.18</v>
      </c>
      <c r="O12" s="30" t="n">
        <f aca="false">IF($A12="","",SUMIFS('Payments Log'!$F$8:$F$207,'Payments Log'!$B$8:$B$207,$A12))</f>
        <v>4496.18</v>
      </c>
      <c r="P12" s="30" t="n">
        <f aca="false">IF($A12="","",ROUND($N12-$O12,2))</f>
        <v>0</v>
      </c>
      <c r="Q12" s="36" t="str">
        <f aca="false">IF($A12="","",IF(N($N12)&lt;=0,"Check Amount",IF(ROUND($O12,2)&lt;=0,"Unpaid",IF(ROUND($O12-$N12,2)&gt;0,"Overpaid",IF(ROUND($P12,2)&lt;=0,"Paid","Partially Paid")))))</f>
        <v>Paid</v>
      </c>
      <c r="R12" s="47" t="n">
        <f aca="false">IF(OR($A12="",$M12=""),"",IF(ROUND($P12,2)&lt;=0,0,MAX(0,Settings!$C$5-$M12-Settings!$C$7)))</f>
        <v>0</v>
      </c>
      <c r="S12" s="30" t="n">
        <f aca="false">IF($A12="","",IF(N($R12)&gt;0,MAX($P12,0),0))</f>
        <v>0</v>
      </c>
      <c r="T12" s="36" t="str">
        <f aca="false">IF($A12="","",IF(ROUND($P12,2)&lt;0,"Supplier Credit",IF(ROUND($P12,2)=0,"Closed",IF($M12="","No Due Date",IF(N($R12)&lt;=0,"Not Due Yet",IF(N($R12)&lt;=Settings!$C$8,"1-30 Days Overdue",IF(N($R12)&lt;=Settings!$C$9,"31-60 Days Overdue",IF(N($R12)&lt;=Settings!$C$10,"61-90 Days Overdue","90+ Days Overdue"))))))))</f>
        <v>Closed</v>
      </c>
      <c r="U12" s="37" t="n">
        <f aca="false">IF($A12="","",IF(COUNTIFS('Payments Log'!$B$8:$B$207,$A12)=0,"",SUMPRODUCT(MAX(('Payments Log'!$B$8:$B$207=$A12)*'Payments Log'!$E$8:$E$207))))</f>
        <v>46117</v>
      </c>
      <c r="V12" s="36" t="str">
        <f aca="false">IF($A12="","",IF($J12="","Not Delivered",IF($I12="","No Target Date",IF($J12&lt;=$I12,"On Time","Late"))))</f>
        <v>On Time</v>
      </c>
      <c r="W12" s="36" t="str">
        <f aca="false">IF($A12="","",IF($X12="","OK","REVIEW"))</f>
        <v>OK</v>
      </c>
      <c r="X12" s="28" t="str">
        <f aca="false">IF($A12="","",TRIM(IF($B12="","Missing vendor ID. ","")&amp;IF($C12="NOT FOUND","Vendor ID not in Vendor Master. ","")&amp;IF(COUNTIFS('Invoice &amp; Delivery Log'!$A$8:$A$157,$A12)&gt;1,"Duplicate invoice ID. ","")&amp;IF(AND($D12&lt;&gt;"",COUNTIFS('Invoice &amp; Delivery Log'!$D$8:$D$157,$D12,'Invoice &amp; Delivery Log'!$B$8:$B$157,$B12)&gt;1),"Duplicate supplier invoice number. ","")&amp;IF($E12="","Missing PO number. ","")&amp;IF($H12="","Missing invoice date. ","")&amp;IF(N($N12)&lt;=0,"Invoice amount must be greater than zero. ","")&amp;IF(AND($H12&lt;&gt;"",$H12&gt;Settings!$C$5),"Invoice date is in the future. ","")&amp;IF(AND($K12="Received in Full",$J12=""),"Missing actual delivery date. ","")&amp;IF(ROUND(N($O12)-N($N12),2)&gt;0,"Payments exceed the invoice amount. ","")&amp;IF(AND($K12="Rejected",N($O12)&gt;0),"Payment made on a rejected delivery. ","")&amp;IF(AND($B12&lt;&gt;"",IFERROR(INDEX('Vendor Master'!$H$8:$H$47,MATCH($B12,'Vendor Master'!$A$8:$A$47,0)),"")="Inactive",ROUND(N($P12),2)&gt;0),"Open balance with an inactive vendor. ","")))</f>
        <v/>
      </c>
      <c r="Y12" s="36" t="str">
        <f aca="false">IF($A12="","",IF(ROUND($P12,2)&gt;0.004,"Yes","No"))</f>
        <v>No</v>
      </c>
      <c r="Z12" s="29" t="str">
        <f aca="false">IF(OR($Y12&lt;&gt;"Yes",$M12=""),"",COUNTIFS('Invoice &amp; Delivery Log'!$Y$8:$Y$157,"Yes",'Invoice &amp; Delivery Log'!$M$8:$M$157,"&lt;"&amp;$M12)+COUNTIFS('Invoice &amp; Delivery Log'!$Y$8:$Y$157,"Yes",'Invoice &amp; Delivery Log'!$M$8:$M$157,$M12,'Invoice &amp; Delivery Log'!$A$8:$A$157,"&lt;"&amp;$A12)+1)</f>
        <v/>
      </c>
    </row>
    <row r="13" customFormat="false" ht="15" hidden="false" customHeight="true" outlineLevel="0" collapsed="false">
      <c r="A13" s="44" t="s">
        <v>254</v>
      </c>
      <c r="B13" s="44" t="s">
        <v>166</v>
      </c>
      <c r="C13" s="59" t="str">
        <f aca="false">IF($B13="","",IFERROR(INDEX('Vendor Master'!$B$8:$B$47,MATCH($B13,'Vendor Master'!$A$8:$A$47,0)),"NOT FOUND"))</f>
        <v>Summit Cleaning Services</v>
      </c>
      <c r="D13" s="44" t="s">
        <v>255</v>
      </c>
      <c r="E13" s="45" t="s">
        <v>256</v>
      </c>
      <c r="F13" s="59" t="str">
        <f aca="false">IF($B13="","",IFERROR(INDEX('Vendor Master'!$C$8:$C$47,MATCH($B13,'Vendor Master'!$A$8:$A$47,0)),""))</f>
        <v>Facility Services</v>
      </c>
      <c r="G13" s="45" t="s">
        <v>257</v>
      </c>
      <c r="H13" s="56" t="n">
        <v>46095</v>
      </c>
      <c r="I13" s="56" t="n">
        <v>46095</v>
      </c>
      <c r="J13" s="56" t="n">
        <v>46095</v>
      </c>
      <c r="K13" s="44" t="s">
        <v>237</v>
      </c>
      <c r="L13" s="60" t="n">
        <f aca="false">IF($B13="","",IFERROR(INDEX('Vendor Master'!$G$8:$G$47,MATCH($B13,'Vendor Master'!$A$8:$A$47,0)),""))</f>
        <v>14</v>
      </c>
      <c r="M13" s="61" t="n">
        <f aca="false">IF(OR($H13="",$L13=""),"",$H13+$L13)</f>
        <v>46109</v>
      </c>
      <c r="N13" s="58" t="n">
        <v>1677.01</v>
      </c>
      <c r="O13" s="50" t="n">
        <f aca="false">IF($A13="","",SUMIFS('Payments Log'!$F$8:$F$207,'Payments Log'!$B$8:$B$207,$A13))</f>
        <v>1677.01</v>
      </c>
      <c r="P13" s="50" t="n">
        <f aca="false">IF($A13="","",ROUND($N13-$O13,2))</f>
        <v>0</v>
      </c>
      <c r="Q13" s="53" t="str">
        <f aca="false">IF($A13="","",IF(N($N13)&lt;=0,"Check Amount",IF(ROUND($O13,2)&lt;=0,"Unpaid",IF(ROUND($O13-$N13,2)&gt;0,"Overpaid",IF(ROUND($P13,2)&lt;=0,"Paid","Partially Paid")))))</f>
        <v>Paid</v>
      </c>
      <c r="R13" s="52" t="n">
        <f aca="false">IF(OR($A13="",$M13=""),"",IF(ROUND($P13,2)&lt;=0,0,MAX(0,Settings!$C$5-$M13-Settings!$C$7)))</f>
        <v>0</v>
      </c>
      <c r="S13" s="50" t="n">
        <f aca="false">IF($A13="","",IF(N($R13)&gt;0,MAX($P13,0),0))</f>
        <v>0</v>
      </c>
      <c r="T13" s="53" t="str">
        <f aca="false">IF($A13="","",IF(ROUND($P13,2)&lt;0,"Supplier Credit",IF(ROUND($P13,2)=0,"Closed",IF($M13="","No Due Date",IF(N($R13)&lt;=0,"Not Due Yet",IF(N($R13)&lt;=Settings!$C$8,"1-30 Days Overdue",IF(N($R13)&lt;=Settings!$C$9,"31-60 Days Overdue",IF(N($R13)&lt;=Settings!$C$10,"61-90 Days Overdue","90+ Days Overdue"))))))))</f>
        <v>Closed</v>
      </c>
      <c r="U13" s="61" t="n">
        <f aca="false">IF($A13="","",IF(COUNTIFS('Payments Log'!$B$8:$B$207,$A13)=0,"",SUMPRODUCT(MAX(('Payments Log'!$B$8:$B$207=$A13)*'Payments Log'!$E$8:$E$207))))</f>
        <v>46106</v>
      </c>
      <c r="V13" s="53" t="str">
        <f aca="false">IF($A13="","",IF($J13="","Not Delivered",IF($I13="","No Target Date",IF($J13&lt;=$I13,"On Time","Late"))))</f>
        <v>On Time</v>
      </c>
      <c r="W13" s="53" t="str">
        <f aca="false">IF($A13="","",IF($X13="","OK","REVIEW"))</f>
        <v>OK</v>
      </c>
      <c r="X13" s="62" t="str">
        <f aca="false">IF($A13="","",TRIM(IF($B13="","Missing vendor ID. ","")&amp;IF($C13="NOT FOUND","Vendor ID not in Vendor Master. ","")&amp;IF(COUNTIFS('Invoice &amp; Delivery Log'!$A$8:$A$157,$A13)&gt;1,"Duplicate invoice ID. ","")&amp;IF(AND($D13&lt;&gt;"",COUNTIFS('Invoice &amp; Delivery Log'!$D$8:$D$157,$D13,'Invoice &amp; Delivery Log'!$B$8:$B$157,$B13)&gt;1),"Duplicate supplier invoice number. ","")&amp;IF($E13="","Missing PO number. ","")&amp;IF($H13="","Missing invoice date. ","")&amp;IF(N($N13)&lt;=0,"Invoice amount must be greater than zero. ","")&amp;IF(AND($H13&lt;&gt;"",$H13&gt;Settings!$C$5),"Invoice date is in the future. ","")&amp;IF(AND($K13="Received in Full",$J13=""),"Missing actual delivery date. ","")&amp;IF(ROUND(N($O13)-N($N13),2)&gt;0,"Payments exceed the invoice amount. ","")&amp;IF(AND($K13="Rejected",N($O13)&gt;0),"Payment made on a rejected delivery. ","")&amp;IF(AND($B13&lt;&gt;"",IFERROR(INDEX('Vendor Master'!$H$8:$H$47,MATCH($B13,'Vendor Master'!$A$8:$A$47,0)),"")="Inactive",ROUND(N($P13),2)&gt;0),"Open balance with an inactive vendor. ","")))</f>
        <v/>
      </c>
      <c r="Y13" s="53" t="str">
        <f aca="false">IF($A13="","",IF(ROUND($P13,2)&gt;0.004,"Yes","No"))</f>
        <v>No</v>
      </c>
      <c r="Z13" s="49" t="str">
        <f aca="false">IF(OR($Y13&lt;&gt;"Yes",$M13=""),"",COUNTIFS('Invoice &amp; Delivery Log'!$Y$8:$Y$157,"Yes",'Invoice &amp; Delivery Log'!$M$8:$M$157,"&lt;"&amp;$M13)+COUNTIFS('Invoice &amp; Delivery Log'!$Y$8:$Y$157,"Yes",'Invoice &amp; Delivery Log'!$M$8:$M$157,$M13,'Invoice &amp; Delivery Log'!$A$8:$A$157,"&lt;"&amp;$A13)+1)</f>
        <v/>
      </c>
    </row>
    <row r="14" customFormat="false" ht="15" hidden="false" customHeight="true" outlineLevel="0" collapsed="false">
      <c r="A14" s="44" t="s">
        <v>258</v>
      </c>
      <c r="B14" s="44" t="s">
        <v>208</v>
      </c>
      <c r="C14" s="55" t="str">
        <f aca="false">IF($B14="","",IFERROR(INDEX('Vendor Master'!$B$8:$B$47,MATCH($B14,'Vendor Master'!$A$8:$A$47,0)),"NOT FOUND"))</f>
        <v>Willowbrook Beverage Co.</v>
      </c>
      <c r="D14" s="44" t="s">
        <v>259</v>
      </c>
      <c r="E14" s="45" t="s">
        <v>260</v>
      </c>
      <c r="F14" s="55" t="str">
        <f aca="false">IF($B14="","",IFERROR(INDEX('Vendor Master'!$C$8:$C$47,MATCH($B14,'Vendor Master'!$A$8:$A$47,0)),""))</f>
        <v>Food &amp; Beverage</v>
      </c>
      <c r="G14" s="45" t="s">
        <v>261</v>
      </c>
      <c r="H14" s="56" t="n">
        <v>46099</v>
      </c>
      <c r="I14" s="56" t="n">
        <v>46097</v>
      </c>
      <c r="J14" s="56" t="n">
        <v>46096</v>
      </c>
      <c r="K14" s="44" t="s">
        <v>237</v>
      </c>
      <c r="L14" s="57" t="n">
        <f aca="false">IF($B14="","",IFERROR(INDEX('Vendor Master'!$G$8:$G$47,MATCH($B14,'Vendor Master'!$A$8:$A$47,0)),""))</f>
        <v>15</v>
      </c>
      <c r="M14" s="37" t="n">
        <f aca="false">IF(OR($H14="",$L14=""),"",$H14+$L14)</f>
        <v>46114</v>
      </c>
      <c r="N14" s="58" t="n">
        <v>1812.63</v>
      </c>
      <c r="O14" s="30" t="n">
        <f aca="false">IF($A14="","",SUMIFS('Payments Log'!$F$8:$F$207,'Payments Log'!$B$8:$B$207,$A14))</f>
        <v>1812.63</v>
      </c>
      <c r="P14" s="30" t="n">
        <f aca="false">IF($A14="","",ROUND($N14-$O14,2))</f>
        <v>0</v>
      </c>
      <c r="Q14" s="36" t="str">
        <f aca="false">IF($A14="","",IF(N($N14)&lt;=0,"Check Amount",IF(ROUND($O14,2)&lt;=0,"Unpaid",IF(ROUND($O14-$N14,2)&gt;0,"Overpaid",IF(ROUND($P14,2)&lt;=0,"Paid","Partially Paid")))))</f>
        <v>Paid</v>
      </c>
      <c r="R14" s="47" t="n">
        <f aca="false">IF(OR($A14="",$M14=""),"",IF(ROUND($P14,2)&lt;=0,0,MAX(0,Settings!$C$5-$M14-Settings!$C$7)))</f>
        <v>0</v>
      </c>
      <c r="S14" s="30" t="n">
        <f aca="false">IF($A14="","",IF(N($R14)&gt;0,MAX($P14,0),0))</f>
        <v>0</v>
      </c>
      <c r="T14" s="36" t="str">
        <f aca="false">IF($A14="","",IF(ROUND($P14,2)&lt;0,"Supplier Credit",IF(ROUND($P14,2)=0,"Closed",IF($M14="","No Due Date",IF(N($R14)&lt;=0,"Not Due Yet",IF(N($R14)&lt;=Settings!$C$8,"1-30 Days Overdue",IF(N($R14)&lt;=Settings!$C$9,"31-60 Days Overdue",IF(N($R14)&lt;=Settings!$C$10,"61-90 Days Overdue","90+ Days Overdue"))))))))</f>
        <v>Closed</v>
      </c>
      <c r="U14" s="37" t="n">
        <f aca="false">IF($A14="","",IF(COUNTIFS('Payments Log'!$B$8:$B$207,$A14)=0,"",SUMPRODUCT(MAX(('Payments Log'!$B$8:$B$207=$A14)*'Payments Log'!$E$8:$E$207))))</f>
        <v>46122</v>
      </c>
      <c r="V14" s="36" t="str">
        <f aca="false">IF($A14="","",IF($J14="","Not Delivered",IF($I14="","No Target Date",IF($J14&lt;=$I14,"On Time","Late"))))</f>
        <v>On Time</v>
      </c>
      <c r="W14" s="36" t="str">
        <f aca="false">IF($A14="","",IF($X14="","OK","REVIEW"))</f>
        <v>OK</v>
      </c>
      <c r="X14" s="28" t="str">
        <f aca="false">IF($A14="","",TRIM(IF($B14="","Missing vendor ID. ","")&amp;IF($C14="NOT FOUND","Vendor ID not in Vendor Master. ","")&amp;IF(COUNTIFS('Invoice &amp; Delivery Log'!$A$8:$A$157,$A14)&gt;1,"Duplicate invoice ID. ","")&amp;IF(AND($D14&lt;&gt;"",COUNTIFS('Invoice &amp; Delivery Log'!$D$8:$D$157,$D14,'Invoice &amp; Delivery Log'!$B$8:$B$157,$B14)&gt;1),"Duplicate supplier invoice number. ","")&amp;IF($E14="","Missing PO number. ","")&amp;IF($H14="","Missing invoice date. ","")&amp;IF(N($N14)&lt;=0,"Invoice amount must be greater than zero. ","")&amp;IF(AND($H14&lt;&gt;"",$H14&gt;Settings!$C$5),"Invoice date is in the future. ","")&amp;IF(AND($K14="Received in Full",$J14=""),"Missing actual delivery date. ","")&amp;IF(ROUND(N($O14)-N($N14),2)&gt;0,"Payments exceed the invoice amount. ","")&amp;IF(AND($K14="Rejected",N($O14)&gt;0),"Payment made on a rejected delivery. ","")&amp;IF(AND($B14&lt;&gt;"",IFERROR(INDEX('Vendor Master'!$H$8:$H$47,MATCH($B14,'Vendor Master'!$A$8:$A$47,0)),"")="Inactive",ROUND(N($P14),2)&gt;0),"Open balance with an inactive vendor. ","")))</f>
        <v/>
      </c>
      <c r="Y14" s="36" t="str">
        <f aca="false">IF($A14="","",IF(ROUND($P14,2)&gt;0.004,"Yes","No"))</f>
        <v>No</v>
      </c>
      <c r="Z14" s="29" t="str">
        <f aca="false">IF(OR($Y14&lt;&gt;"Yes",$M14=""),"",COUNTIFS('Invoice &amp; Delivery Log'!$Y$8:$Y$157,"Yes",'Invoice &amp; Delivery Log'!$M$8:$M$157,"&lt;"&amp;$M14)+COUNTIFS('Invoice &amp; Delivery Log'!$Y$8:$Y$157,"Yes",'Invoice &amp; Delivery Log'!$M$8:$M$157,$M14,'Invoice &amp; Delivery Log'!$A$8:$A$157,"&lt;"&amp;$A14)+1)</f>
        <v/>
      </c>
    </row>
    <row r="15" customFormat="false" ht="15" hidden="false" customHeight="true" outlineLevel="0" collapsed="false">
      <c r="A15" s="44" t="s">
        <v>262</v>
      </c>
      <c r="B15" s="44" t="s">
        <v>141</v>
      </c>
      <c r="C15" s="59" t="str">
        <f aca="false">IF($B15="","",IFERROR(INDEX('Vendor Master'!$B$8:$B$47,MATCH($B15,'Vendor Master'!$A$8:$A$47,0)),"NOT FOUND"))</f>
        <v>Northwind Paper Supply</v>
      </c>
      <c r="D15" s="44" t="s">
        <v>263</v>
      </c>
      <c r="E15" s="45" t="s">
        <v>264</v>
      </c>
      <c r="F15" s="59" t="str">
        <f aca="false">IF($B15="","",IFERROR(INDEX('Vendor Master'!$C$8:$C$47,MATCH($B15,'Vendor Master'!$A$8:$A$47,0)),""))</f>
        <v>Office Supplies</v>
      </c>
      <c r="G15" s="45" t="s">
        <v>265</v>
      </c>
      <c r="H15" s="56" t="n">
        <v>46101</v>
      </c>
      <c r="I15" s="56" t="n">
        <v>46098</v>
      </c>
      <c r="J15" s="56" t="n">
        <v>46098</v>
      </c>
      <c r="K15" s="44" t="s">
        <v>237</v>
      </c>
      <c r="L15" s="60" t="n">
        <f aca="false">IF($B15="","",IFERROR(INDEX('Vendor Master'!$G$8:$G$47,MATCH($B15,'Vendor Master'!$A$8:$A$47,0)),""))</f>
        <v>30</v>
      </c>
      <c r="M15" s="61" t="n">
        <f aca="false">IF(OR($H15="",$L15=""),"",$H15+$L15)</f>
        <v>46131</v>
      </c>
      <c r="N15" s="58" t="n">
        <v>1767.46</v>
      </c>
      <c r="O15" s="50" t="n">
        <f aca="false">IF($A15="","",SUMIFS('Payments Log'!$F$8:$F$207,'Payments Log'!$B$8:$B$207,$A15))</f>
        <v>1767.46</v>
      </c>
      <c r="P15" s="50" t="n">
        <f aca="false">IF($A15="","",ROUND($N15-$O15,2))</f>
        <v>0</v>
      </c>
      <c r="Q15" s="53" t="str">
        <f aca="false">IF($A15="","",IF(N($N15)&lt;=0,"Check Amount",IF(ROUND($O15,2)&lt;=0,"Unpaid",IF(ROUND($O15-$N15,2)&gt;0,"Overpaid",IF(ROUND($P15,2)&lt;=0,"Paid","Partially Paid")))))</f>
        <v>Paid</v>
      </c>
      <c r="R15" s="52" t="n">
        <f aca="false">IF(OR($A15="",$M15=""),"",IF(ROUND($P15,2)&lt;=0,0,MAX(0,Settings!$C$5-$M15-Settings!$C$7)))</f>
        <v>0</v>
      </c>
      <c r="S15" s="50" t="n">
        <f aca="false">IF($A15="","",IF(N($R15)&gt;0,MAX($P15,0),0))</f>
        <v>0</v>
      </c>
      <c r="T15" s="53" t="str">
        <f aca="false">IF($A15="","",IF(ROUND($P15,2)&lt;0,"Supplier Credit",IF(ROUND($P15,2)=0,"Closed",IF($M15="","No Due Date",IF(N($R15)&lt;=0,"Not Due Yet",IF(N($R15)&lt;=Settings!$C$8,"1-30 Days Overdue",IF(N($R15)&lt;=Settings!$C$9,"31-60 Days Overdue",IF(N($R15)&lt;=Settings!$C$10,"61-90 Days Overdue","90+ Days Overdue"))))))))</f>
        <v>Closed</v>
      </c>
      <c r="U15" s="61" t="n">
        <f aca="false">IF($A15="","",IF(COUNTIFS('Payments Log'!$B$8:$B$207,$A15)=0,"",SUMPRODUCT(MAX(('Payments Log'!$B$8:$B$207=$A15)*'Payments Log'!$E$8:$E$207))))</f>
        <v>46131</v>
      </c>
      <c r="V15" s="53" t="str">
        <f aca="false">IF($A15="","",IF($J15="","Not Delivered",IF($I15="","No Target Date",IF($J15&lt;=$I15,"On Time","Late"))))</f>
        <v>On Time</v>
      </c>
      <c r="W15" s="53" t="str">
        <f aca="false">IF($A15="","",IF($X15="","OK","REVIEW"))</f>
        <v>OK</v>
      </c>
      <c r="X15" s="62" t="str">
        <f aca="false">IF($A15="","",TRIM(IF($B15="","Missing vendor ID. ","")&amp;IF($C15="NOT FOUND","Vendor ID not in Vendor Master. ","")&amp;IF(COUNTIFS('Invoice &amp; Delivery Log'!$A$8:$A$157,$A15)&gt;1,"Duplicate invoice ID. ","")&amp;IF(AND($D15&lt;&gt;"",COUNTIFS('Invoice &amp; Delivery Log'!$D$8:$D$157,$D15,'Invoice &amp; Delivery Log'!$B$8:$B$157,$B15)&gt;1),"Duplicate supplier invoice number. ","")&amp;IF($E15="","Missing PO number. ","")&amp;IF($H15="","Missing invoice date. ","")&amp;IF(N($N15)&lt;=0,"Invoice amount must be greater than zero. ","")&amp;IF(AND($H15&lt;&gt;"",$H15&gt;Settings!$C$5),"Invoice date is in the future. ","")&amp;IF(AND($K15="Received in Full",$J15=""),"Missing actual delivery date. ","")&amp;IF(ROUND(N($O15)-N($N15),2)&gt;0,"Payments exceed the invoice amount. ","")&amp;IF(AND($K15="Rejected",N($O15)&gt;0),"Payment made on a rejected delivery. ","")&amp;IF(AND($B15&lt;&gt;"",IFERROR(INDEX('Vendor Master'!$H$8:$H$47,MATCH($B15,'Vendor Master'!$A$8:$A$47,0)),"")="Inactive",ROUND(N($P15),2)&gt;0),"Open balance with an inactive vendor. ","")))</f>
        <v/>
      </c>
      <c r="Y15" s="53" t="str">
        <f aca="false">IF($A15="","",IF(ROUND($P15,2)&gt;0.004,"Yes","No"))</f>
        <v>No</v>
      </c>
      <c r="Z15" s="49" t="str">
        <f aca="false">IF(OR($Y15&lt;&gt;"Yes",$M15=""),"",COUNTIFS('Invoice &amp; Delivery Log'!$Y$8:$Y$157,"Yes",'Invoice &amp; Delivery Log'!$M$8:$M$157,"&lt;"&amp;$M15)+COUNTIFS('Invoice &amp; Delivery Log'!$Y$8:$Y$157,"Yes",'Invoice &amp; Delivery Log'!$M$8:$M$157,$M15,'Invoice &amp; Delivery Log'!$A$8:$A$157,"&lt;"&amp;$A15)+1)</f>
        <v/>
      </c>
    </row>
    <row r="16" customFormat="false" ht="15" hidden="false" customHeight="true" outlineLevel="0" collapsed="false">
      <c r="A16" s="44" t="s">
        <v>266</v>
      </c>
      <c r="B16" s="44" t="s">
        <v>202</v>
      </c>
      <c r="C16" s="55" t="str">
        <f aca="false">IF($B16="","",IFERROR(INDEX('Vendor Master'!$B$8:$B$47,MATCH($B16,'Vendor Master'!$A$8:$A$47,0)),"NOT FOUND"))</f>
        <v>Redstone Safety Equipment</v>
      </c>
      <c r="D16" s="44" t="s">
        <v>267</v>
      </c>
      <c r="E16" s="45" t="s">
        <v>268</v>
      </c>
      <c r="F16" s="55" t="str">
        <f aca="false">IF($B16="","",IFERROR(INDEX('Vendor Master'!$C$8:$C$47,MATCH($B16,'Vendor Master'!$A$8:$A$47,0)),""))</f>
        <v>Safety &amp; PPE</v>
      </c>
      <c r="G16" s="45" t="s">
        <v>269</v>
      </c>
      <c r="H16" s="56" t="n">
        <v>46106</v>
      </c>
      <c r="I16" s="56" t="n">
        <v>46105</v>
      </c>
      <c r="J16" s="56" t="n">
        <v>46105</v>
      </c>
      <c r="K16" s="44" t="s">
        <v>237</v>
      </c>
      <c r="L16" s="57" t="n">
        <f aca="false">IF($B16="","",IFERROR(INDEX('Vendor Master'!$G$8:$G$47,MATCH($B16,'Vendor Master'!$A$8:$A$47,0)),""))</f>
        <v>30</v>
      </c>
      <c r="M16" s="37" t="n">
        <f aca="false">IF(OR($H16="",$L16=""),"",$H16+$L16)</f>
        <v>46136</v>
      </c>
      <c r="N16" s="58" t="n">
        <v>2891.99</v>
      </c>
      <c r="O16" s="30" t="n">
        <f aca="false">IF($A16="","",SUMIFS('Payments Log'!$F$8:$F$207,'Payments Log'!$B$8:$B$207,$A16))</f>
        <v>2891.99</v>
      </c>
      <c r="P16" s="30" t="n">
        <f aca="false">IF($A16="","",ROUND($N16-$O16,2))</f>
        <v>0</v>
      </c>
      <c r="Q16" s="36" t="str">
        <f aca="false">IF($A16="","",IF(N($N16)&lt;=0,"Check Amount",IF(ROUND($O16,2)&lt;=0,"Unpaid",IF(ROUND($O16-$N16,2)&gt;0,"Overpaid",IF(ROUND($P16,2)&lt;=0,"Paid","Partially Paid")))))</f>
        <v>Paid</v>
      </c>
      <c r="R16" s="47" t="n">
        <f aca="false">IF(OR($A16="",$M16=""),"",IF(ROUND($P16,2)&lt;=0,0,MAX(0,Settings!$C$5-$M16-Settings!$C$7)))</f>
        <v>0</v>
      </c>
      <c r="S16" s="30" t="n">
        <f aca="false">IF($A16="","",IF(N($R16)&gt;0,MAX($P16,0),0))</f>
        <v>0</v>
      </c>
      <c r="T16" s="36" t="str">
        <f aca="false">IF($A16="","",IF(ROUND($P16,2)&lt;0,"Supplier Credit",IF(ROUND($P16,2)=0,"Closed",IF($M16="","No Due Date",IF(N($R16)&lt;=0,"Not Due Yet",IF(N($R16)&lt;=Settings!$C$8,"1-30 Days Overdue",IF(N($R16)&lt;=Settings!$C$9,"31-60 Days Overdue",IF(N($R16)&lt;=Settings!$C$10,"61-90 Days Overdue","90+ Days Overdue"))))))))</f>
        <v>Closed</v>
      </c>
      <c r="U16" s="37" t="n">
        <f aca="false">IF($A16="","",IF(COUNTIFS('Payments Log'!$B$8:$B$207,$A16)=0,"",SUMPRODUCT(MAX(('Payments Log'!$B$8:$B$207=$A16)*'Payments Log'!$E$8:$E$207))))</f>
        <v>46119</v>
      </c>
      <c r="V16" s="36" t="str">
        <f aca="false">IF($A16="","",IF($J16="","Not Delivered",IF($I16="","No Target Date",IF($J16&lt;=$I16,"On Time","Late"))))</f>
        <v>On Time</v>
      </c>
      <c r="W16" s="36" t="str">
        <f aca="false">IF($A16="","",IF($X16="","OK","REVIEW"))</f>
        <v>OK</v>
      </c>
      <c r="X16" s="28" t="str">
        <f aca="false">IF($A16="","",TRIM(IF($B16="","Missing vendor ID. ","")&amp;IF($C16="NOT FOUND","Vendor ID not in Vendor Master. ","")&amp;IF(COUNTIFS('Invoice &amp; Delivery Log'!$A$8:$A$157,$A16)&gt;1,"Duplicate invoice ID. ","")&amp;IF(AND($D16&lt;&gt;"",COUNTIFS('Invoice &amp; Delivery Log'!$D$8:$D$157,$D16,'Invoice &amp; Delivery Log'!$B$8:$B$157,$B16)&gt;1),"Duplicate supplier invoice number. ","")&amp;IF($E16="","Missing PO number. ","")&amp;IF($H16="","Missing invoice date. ","")&amp;IF(N($N16)&lt;=0,"Invoice amount must be greater than zero. ","")&amp;IF(AND($H16&lt;&gt;"",$H16&gt;Settings!$C$5),"Invoice date is in the future. ","")&amp;IF(AND($K16="Received in Full",$J16=""),"Missing actual delivery date. ","")&amp;IF(ROUND(N($O16)-N($N16),2)&gt;0,"Payments exceed the invoice amount. ","")&amp;IF(AND($K16="Rejected",N($O16)&gt;0),"Payment made on a rejected delivery. ","")&amp;IF(AND($B16&lt;&gt;"",IFERROR(INDEX('Vendor Master'!$H$8:$H$47,MATCH($B16,'Vendor Master'!$A$8:$A$47,0)),"")="Inactive",ROUND(N($P16),2)&gt;0),"Open balance with an inactive vendor. ","")))</f>
        <v/>
      </c>
      <c r="Y16" s="36" t="str">
        <f aca="false">IF($A16="","",IF(ROUND($P16,2)&gt;0.004,"Yes","No"))</f>
        <v>No</v>
      </c>
      <c r="Z16" s="29" t="str">
        <f aca="false">IF(OR($Y16&lt;&gt;"Yes",$M16=""),"",COUNTIFS('Invoice &amp; Delivery Log'!$Y$8:$Y$157,"Yes",'Invoice &amp; Delivery Log'!$M$8:$M$157,"&lt;"&amp;$M16)+COUNTIFS('Invoice &amp; Delivery Log'!$Y$8:$Y$157,"Yes",'Invoice &amp; Delivery Log'!$M$8:$M$157,$M16,'Invoice &amp; Delivery Log'!$A$8:$A$157,"&lt;"&amp;$A16)+1)</f>
        <v/>
      </c>
    </row>
    <row r="17" customFormat="false" ht="15" hidden="false" customHeight="true" outlineLevel="0" collapsed="false">
      <c r="A17" s="44" t="s">
        <v>270</v>
      </c>
      <c r="B17" s="44" t="s">
        <v>196</v>
      </c>
      <c r="C17" s="59" t="str">
        <f aca="false">IF($B17="","",IFERROR(INDEX('Vendor Master'!$B$8:$B$47,MATCH($B17,'Vendor Master'!$A$8:$A$47,0)),"NOT FOUND"))</f>
        <v>Copperfield Textiles</v>
      </c>
      <c r="D17" s="44" t="s">
        <v>271</v>
      </c>
      <c r="E17" s="45" t="s">
        <v>272</v>
      </c>
      <c r="F17" s="59" t="str">
        <f aca="false">IF($B17="","",IFERROR(INDEX('Vendor Master'!$C$8:$C$47,MATCH($B17,'Vendor Master'!$A$8:$A$47,0)),""))</f>
        <v>Textiles</v>
      </c>
      <c r="G17" s="45" t="s">
        <v>273</v>
      </c>
      <c r="H17" s="56" t="n">
        <v>46107</v>
      </c>
      <c r="I17" s="56" t="n">
        <v>46106</v>
      </c>
      <c r="J17" s="56" t="n">
        <v>46106</v>
      </c>
      <c r="K17" s="44" t="s">
        <v>274</v>
      </c>
      <c r="L17" s="60" t="n">
        <f aca="false">IF($B17="","",IFERROR(INDEX('Vendor Master'!$G$8:$G$47,MATCH($B17,'Vendor Master'!$A$8:$A$47,0)),""))</f>
        <v>60</v>
      </c>
      <c r="M17" s="61" t="n">
        <f aca="false">IF(OR($H17="",$L17=""),"",$H17+$L17)</f>
        <v>46167</v>
      </c>
      <c r="N17" s="58" t="n">
        <v>9042.96</v>
      </c>
      <c r="O17" s="50" t="n">
        <f aca="false">IF($A17="","",SUMIFS('Payments Log'!$F$8:$F$207,'Payments Log'!$B$8:$B$207,$A17))</f>
        <v>0</v>
      </c>
      <c r="P17" s="50" t="n">
        <f aca="false">IF($A17="","",ROUND($N17-$O17,2))</f>
        <v>9042.96</v>
      </c>
      <c r="Q17" s="53" t="str">
        <f aca="false">IF($A17="","",IF(N($N17)&lt;=0,"Check Amount",IF(ROUND($O17,2)&lt;=0,"Unpaid",IF(ROUND($O17-$N17,2)&gt;0,"Overpaid",IF(ROUND($P17,2)&lt;=0,"Paid","Partially Paid")))))</f>
        <v>Unpaid</v>
      </c>
      <c r="R17" s="52" t="n">
        <f aca="false">IF(OR($A17="",$M17=""),"",IF(ROUND($P17,2)&lt;=0,0,MAX(0,Settings!$C$5-$M17-Settings!$C$7)))</f>
        <v>105</v>
      </c>
      <c r="S17" s="50" t="n">
        <f aca="false">IF($A17="","",IF(N($R17)&gt;0,MAX($P17,0),0))</f>
        <v>9042.96</v>
      </c>
      <c r="T17" s="53" t="str">
        <f aca="false">IF($A17="","",IF(ROUND($P17,2)&lt;0,"Supplier Credit",IF(ROUND($P17,2)=0,"Closed",IF($M17="","No Due Date",IF(N($R17)&lt;=0,"Not Due Yet",IF(N($R17)&lt;=Settings!$C$8,"1-30 Days Overdue",IF(N($R17)&lt;=Settings!$C$9,"31-60 Days Overdue",IF(N($R17)&lt;=Settings!$C$10,"61-90 Days Overdue","90+ Days Overdue"))))))))</f>
        <v>90+ Days Overdue</v>
      </c>
      <c r="U17" s="61" t="str">
        <f aca="false">IF($A17="","",IF(COUNTIFS('Payments Log'!$B$8:$B$207,$A17)=0,"",SUMPRODUCT(MAX(('Payments Log'!$B$8:$B$207=$A17)*'Payments Log'!$E$8:$E$207))))</f>
        <v/>
      </c>
      <c r="V17" s="53" t="str">
        <f aca="false">IF($A17="","",IF($J17="","Not Delivered",IF($I17="","No Target Date",IF($J17&lt;=$I17,"On Time","Late"))))</f>
        <v>On Time</v>
      </c>
      <c r="W17" s="53" t="str">
        <f aca="false">IF($A17="","",IF($X17="","OK","REVIEW"))</f>
        <v>OK</v>
      </c>
      <c r="X17" s="62" t="str">
        <f aca="false">IF($A17="","",TRIM(IF($B17="","Missing vendor ID. ","")&amp;IF($C17="NOT FOUND","Vendor ID not in Vendor Master. ","")&amp;IF(COUNTIFS('Invoice &amp; Delivery Log'!$A$8:$A$157,$A17)&gt;1,"Duplicate invoice ID. ","")&amp;IF(AND($D17&lt;&gt;"",COUNTIFS('Invoice &amp; Delivery Log'!$D$8:$D$157,$D17,'Invoice &amp; Delivery Log'!$B$8:$B$157,$B17)&gt;1),"Duplicate supplier invoice number. ","")&amp;IF($E17="","Missing PO number. ","")&amp;IF($H17="","Missing invoice date. ","")&amp;IF(N($N17)&lt;=0,"Invoice amount must be greater than zero. ","")&amp;IF(AND($H17&lt;&gt;"",$H17&gt;Settings!$C$5),"Invoice date is in the future. ","")&amp;IF(AND($K17="Received in Full",$J17=""),"Missing actual delivery date. ","")&amp;IF(ROUND(N($O17)-N($N17),2)&gt;0,"Payments exceed the invoice amount. ","")&amp;IF(AND($K17="Rejected",N($O17)&gt;0),"Payment made on a rejected delivery. ","")&amp;IF(AND($B17&lt;&gt;"",IFERROR(INDEX('Vendor Master'!$H$8:$H$47,MATCH($B17,'Vendor Master'!$A$8:$A$47,0)),"")="Inactive",ROUND(N($P17),2)&gt;0),"Open balance with an inactive vendor. ","")))</f>
        <v/>
      </c>
      <c r="Y17" s="53" t="str">
        <f aca="false">IF($A17="","",IF(ROUND($P17,2)&gt;0.004,"Yes","No"))</f>
        <v>Yes</v>
      </c>
      <c r="Z17" s="49" t="n">
        <f aca="false">IF(OR($Y17&lt;&gt;"Yes",$M17=""),"",COUNTIFS('Invoice &amp; Delivery Log'!$Y$8:$Y$157,"Yes",'Invoice &amp; Delivery Log'!$M$8:$M$157,"&lt;"&amp;$M17)+COUNTIFS('Invoice &amp; Delivery Log'!$Y$8:$Y$157,"Yes",'Invoice &amp; Delivery Log'!$M$8:$M$157,$M17,'Invoice &amp; Delivery Log'!$A$8:$A$157,"&lt;"&amp;$A17)+1)</f>
        <v>3</v>
      </c>
    </row>
    <row r="18" customFormat="false" ht="15" hidden="false" customHeight="true" outlineLevel="0" collapsed="false">
      <c r="A18" s="44" t="s">
        <v>275</v>
      </c>
      <c r="B18" s="44" t="s">
        <v>172</v>
      </c>
      <c r="C18" s="55" t="str">
        <f aca="false">IF($B18="","",IFERROR(INDEX('Vendor Master'!$B$8:$B$47,MATCH($B18,'Vendor Master'!$A$8:$A$47,0)),"NOT FOUND"))</f>
        <v>Harborline Logistics</v>
      </c>
      <c r="D18" s="44" t="s">
        <v>276</v>
      </c>
      <c r="E18" s="45" t="s">
        <v>277</v>
      </c>
      <c r="F18" s="55" t="str">
        <f aca="false">IF($B18="","",IFERROR(INDEX('Vendor Master'!$C$8:$C$47,MATCH($B18,'Vendor Master'!$A$8:$A$47,0)),""))</f>
        <v>Logistics</v>
      </c>
      <c r="G18" s="45" t="s">
        <v>253</v>
      </c>
      <c r="H18" s="56" t="n">
        <v>46106</v>
      </c>
      <c r="I18" s="56" t="n">
        <v>46106</v>
      </c>
      <c r="J18" s="56" t="n">
        <v>46106</v>
      </c>
      <c r="K18" s="44" t="s">
        <v>237</v>
      </c>
      <c r="L18" s="57" t="n">
        <f aca="false">IF($B18="","",IFERROR(INDEX('Vendor Master'!$G$8:$G$47,MATCH($B18,'Vendor Master'!$A$8:$A$47,0)),""))</f>
        <v>30</v>
      </c>
      <c r="M18" s="37" t="n">
        <f aca="false">IF(OR($H18="",$L18=""),"",$H18+$L18)</f>
        <v>46136</v>
      </c>
      <c r="N18" s="58" t="n">
        <v>3312.21</v>
      </c>
      <c r="O18" s="30" t="n">
        <f aca="false">IF($A18="","",SUMIFS('Payments Log'!$F$8:$F$207,'Payments Log'!$B$8:$B$207,$A18))</f>
        <v>3312.21</v>
      </c>
      <c r="P18" s="30" t="n">
        <f aca="false">IF($A18="","",ROUND($N18-$O18,2))</f>
        <v>0</v>
      </c>
      <c r="Q18" s="36" t="str">
        <f aca="false">IF($A18="","",IF(N($N18)&lt;=0,"Check Amount",IF(ROUND($O18,2)&lt;=0,"Unpaid",IF(ROUND($O18-$N18,2)&gt;0,"Overpaid",IF(ROUND($P18,2)&lt;=0,"Paid","Partially Paid")))))</f>
        <v>Paid</v>
      </c>
      <c r="R18" s="47" t="n">
        <f aca="false">IF(OR($A18="",$M18=""),"",IF(ROUND($P18,2)&lt;=0,0,MAX(0,Settings!$C$5-$M18-Settings!$C$7)))</f>
        <v>0</v>
      </c>
      <c r="S18" s="30" t="n">
        <f aca="false">IF($A18="","",IF(N($R18)&gt;0,MAX($P18,0),0))</f>
        <v>0</v>
      </c>
      <c r="T18" s="36" t="str">
        <f aca="false">IF($A18="","",IF(ROUND($P18,2)&lt;0,"Supplier Credit",IF(ROUND($P18,2)=0,"Closed",IF($M18="","No Due Date",IF(N($R18)&lt;=0,"Not Due Yet",IF(N($R18)&lt;=Settings!$C$8,"1-30 Days Overdue",IF(N($R18)&lt;=Settings!$C$9,"31-60 Days Overdue",IF(N($R18)&lt;=Settings!$C$10,"61-90 Days Overdue","90+ Days Overdue"))))))))</f>
        <v>Closed</v>
      </c>
      <c r="U18" s="37" t="n">
        <f aca="false">IF($A18="","",IF(COUNTIFS('Payments Log'!$B$8:$B$207,$A18)=0,"",SUMPRODUCT(MAX(('Payments Log'!$B$8:$B$207=$A18)*'Payments Log'!$E$8:$E$207))))</f>
        <v>46149</v>
      </c>
      <c r="V18" s="36" t="str">
        <f aca="false">IF($A18="","",IF($J18="","Not Delivered",IF($I18="","No Target Date",IF($J18&lt;=$I18,"On Time","Late"))))</f>
        <v>On Time</v>
      </c>
      <c r="W18" s="36" t="str">
        <f aca="false">IF($A18="","",IF($X18="","OK","REVIEW"))</f>
        <v>OK</v>
      </c>
      <c r="X18" s="28" t="str">
        <f aca="false">IF($A18="","",TRIM(IF($B18="","Missing vendor ID. ","")&amp;IF($C18="NOT FOUND","Vendor ID not in Vendor Master. ","")&amp;IF(COUNTIFS('Invoice &amp; Delivery Log'!$A$8:$A$157,$A18)&gt;1,"Duplicate invoice ID. ","")&amp;IF(AND($D18&lt;&gt;"",COUNTIFS('Invoice &amp; Delivery Log'!$D$8:$D$157,$D18,'Invoice &amp; Delivery Log'!$B$8:$B$157,$B18)&gt;1),"Duplicate supplier invoice number. ","")&amp;IF($E18="","Missing PO number. ","")&amp;IF($H18="","Missing invoice date. ","")&amp;IF(N($N18)&lt;=0,"Invoice amount must be greater than zero. ","")&amp;IF(AND($H18&lt;&gt;"",$H18&gt;Settings!$C$5),"Invoice date is in the future. ","")&amp;IF(AND($K18="Received in Full",$J18=""),"Missing actual delivery date. ","")&amp;IF(ROUND(N($O18)-N($N18),2)&gt;0,"Payments exceed the invoice amount. ","")&amp;IF(AND($K18="Rejected",N($O18)&gt;0),"Payment made on a rejected delivery. ","")&amp;IF(AND($B18&lt;&gt;"",IFERROR(INDEX('Vendor Master'!$H$8:$H$47,MATCH($B18,'Vendor Master'!$A$8:$A$47,0)),"")="Inactive",ROUND(N($P18),2)&gt;0),"Open balance with an inactive vendor. ","")))</f>
        <v/>
      </c>
      <c r="Y18" s="36" t="str">
        <f aca="false">IF($A18="","",IF(ROUND($P18,2)&gt;0.004,"Yes","No"))</f>
        <v>No</v>
      </c>
      <c r="Z18" s="29" t="str">
        <f aca="false">IF(OR($Y18&lt;&gt;"Yes",$M18=""),"",COUNTIFS('Invoice &amp; Delivery Log'!$Y$8:$Y$157,"Yes",'Invoice &amp; Delivery Log'!$M$8:$M$157,"&lt;"&amp;$M18)+COUNTIFS('Invoice &amp; Delivery Log'!$Y$8:$Y$157,"Yes",'Invoice &amp; Delivery Log'!$M$8:$M$157,$M18,'Invoice &amp; Delivery Log'!$A$8:$A$157,"&lt;"&amp;$A18)+1)</f>
        <v/>
      </c>
    </row>
    <row r="19" customFormat="false" ht="15" hidden="false" customHeight="true" outlineLevel="0" collapsed="false">
      <c r="A19" s="44" t="s">
        <v>278</v>
      </c>
      <c r="B19" s="44" t="s">
        <v>166</v>
      </c>
      <c r="C19" s="59" t="str">
        <f aca="false">IF($B19="","",IFERROR(INDEX('Vendor Master'!$B$8:$B$47,MATCH($B19,'Vendor Master'!$A$8:$A$47,0)),"NOT FOUND"))</f>
        <v>Summit Cleaning Services</v>
      </c>
      <c r="D19" s="44" t="s">
        <v>279</v>
      </c>
      <c r="E19" s="45" t="s">
        <v>280</v>
      </c>
      <c r="F19" s="59" t="str">
        <f aca="false">IF($B19="","",IFERROR(INDEX('Vendor Master'!$C$8:$C$47,MATCH($B19,'Vendor Master'!$A$8:$A$47,0)),""))</f>
        <v>Facility Services</v>
      </c>
      <c r="G19" s="45" t="s">
        <v>281</v>
      </c>
      <c r="H19" s="56" t="n">
        <v>46115</v>
      </c>
      <c r="I19" s="56" t="n">
        <v>46107</v>
      </c>
      <c r="J19" s="56" t="n">
        <v>46112</v>
      </c>
      <c r="K19" s="44" t="s">
        <v>237</v>
      </c>
      <c r="L19" s="60" t="n">
        <f aca="false">IF($B19="","",IFERROR(INDEX('Vendor Master'!$G$8:$G$47,MATCH($B19,'Vendor Master'!$A$8:$A$47,0)),""))</f>
        <v>14</v>
      </c>
      <c r="M19" s="61" t="n">
        <f aca="false">IF(OR($H19="",$L19=""),"",$H19+$L19)</f>
        <v>46129</v>
      </c>
      <c r="N19" s="58" t="n">
        <v>1754.8</v>
      </c>
      <c r="O19" s="50" t="n">
        <f aca="false">IF($A19="","",SUMIFS('Payments Log'!$F$8:$F$207,'Payments Log'!$B$8:$B$207,$A19))</f>
        <v>1754.8</v>
      </c>
      <c r="P19" s="50" t="n">
        <f aca="false">IF($A19="","",ROUND($N19-$O19,2))</f>
        <v>0</v>
      </c>
      <c r="Q19" s="53" t="str">
        <f aca="false">IF($A19="","",IF(N($N19)&lt;=0,"Check Amount",IF(ROUND($O19,2)&lt;=0,"Unpaid",IF(ROUND($O19-$N19,2)&gt;0,"Overpaid",IF(ROUND($P19,2)&lt;=0,"Paid","Partially Paid")))))</f>
        <v>Paid</v>
      </c>
      <c r="R19" s="52" t="n">
        <f aca="false">IF(OR($A19="",$M19=""),"",IF(ROUND($P19,2)&lt;=0,0,MAX(0,Settings!$C$5-$M19-Settings!$C$7)))</f>
        <v>0</v>
      </c>
      <c r="S19" s="50" t="n">
        <f aca="false">IF($A19="","",IF(N($R19)&gt;0,MAX($P19,0),0))</f>
        <v>0</v>
      </c>
      <c r="T19" s="53" t="str">
        <f aca="false">IF($A19="","",IF(ROUND($P19,2)&lt;0,"Supplier Credit",IF(ROUND($P19,2)=0,"Closed",IF($M19="","No Due Date",IF(N($R19)&lt;=0,"Not Due Yet",IF(N($R19)&lt;=Settings!$C$8,"1-30 Days Overdue",IF(N($R19)&lt;=Settings!$C$9,"31-60 Days Overdue",IF(N($R19)&lt;=Settings!$C$10,"61-90 Days Overdue","90+ Days Overdue"))))))))</f>
        <v>Closed</v>
      </c>
      <c r="U19" s="61" t="n">
        <f aca="false">IF($A19="","",IF(COUNTIFS('Payments Log'!$B$8:$B$207,$A19)=0,"",SUMPRODUCT(MAX(('Payments Log'!$B$8:$B$207=$A19)*'Payments Log'!$E$8:$E$207))))</f>
        <v>46140</v>
      </c>
      <c r="V19" s="53" t="str">
        <f aca="false">IF($A19="","",IF($J19="","Not Delivered",IF($I19="","No Target Date",IF($J19&lt;=$I19,"On Time","Late"))))</f>
        <v>Late</v>
      </c>
      <c r="W19" s="53" t="str">
        <f aca="false">IF($A19="","",IF($X19="","OK","REVIEW"))</f>
        <v>OK</v>
      </c>
      <c r="X19" s="62" t="str">
        <f aca="false">IF($A19="","",TRIM(IF($B19="","Missing vendor ID. ","")&amp;IF($C19="NOT FOUND","Vendor ID not in Vendor Master. ","")&amp;IF(COUNTIFS('Invoice &amp; Delivery Log'!$A$8:$A$157,$A19)&gt;1,"Duplicate invoice ID. ","")&amp;IF(AND($D19&lt;&gt;"",COUNTIFS('Invoice &amp; Delivery Log'!$D$8:$D$157,$D19,'Invoice &amp; Delivery Log'!$B$8:$B$157,$B19)&gt;1),"Duplicate supplier invoice number. ","")&amp;IF($E19="","Missing PO number. ","")&amp;IF($H19="","Missing invoice date. ","")&amp;IF(N($N19)&lt;=0,"Invoice amount must be greater than zero. ","")&amp;IF(AND($H19&lt;&gt;"",$H19&gt;Settings!$C$5),"Invoice date is in the future. ","")&amp;IF(AND($K19="Received in Full",$J19=""),"Missing actual delivery date. ","")&amp;IF(ROUND(N($O19)-N($N19),2)&gt;0,"Payments exceed the invoice amount. ","")&amp;IF(AND($K19="Rejected",N($O19)&gt;0),"Payment made on a rejected delivery. ","")&amp;IF(AND($B19&lt;&gt;"",IFERROR(INDEX('Vendor Master'!$H$8:$H$47,MATCH($B19,'Vendor Master'!$A$8:$A$47,0)),"")="Inactive",ROUND(N($P19),2)&gt;0),"Open balance with an inactive vendor. ","")))</f>
        <v/>
      </c>
      <c r="Y19" s="53" t="str">
        <f aca="false">IF($A19="","",IF(ROUND($P19,2)&gt;0.004,"Yes","No"))</f>
        <v>No</v>
      </c>
      <c r="Z19" s="49" t="str">
        <f aca="false">IF(OR($Y19&lt;&gt;"Yes",$M19=""),"",COUNTIFS('Invoice &amp; Delivery Log'!$Y$8:$Y$157,"Yes",'Invoice &amp; Delivery Log'!$M$8:$M$157,"&lt;"&amp;$M19)+COUNTIFS('Invoice &amp; Delivery Log'!$Y$8:$Y$157,"Yes",'Invoice &amp; Delivery Log'!$M$8:$M$157,$M19,'Invoice &amp; Delivery Log'!$A$8:$A$157,"&lt;"&amp;$A19)+1)</f>
        <v/>
      </c>
    </row>
    <row r="20" customFormat="false" ht="15" hidden="false" customHeight="true" outlineLevel="0" collapsed="false">
      <c r="A20" s="44" t="s">
        <v>282</v>
      </c>
      <c r="B20" s="44" t="s">
        <v>190</v>
      </c>
      <c r="C20" s="55" t="str">
        <f aca="false">IF($B20="","",IFERROR(INDEX('Vendor Master'!$B$8:$B$47,MATCH($B20,'Vendor Master'!$A$8:$A$47,0)),"NOT FOUND"))</f>
        <v>Vertex IT Solutions</v>
      </c>
      <c r="D20" s="44" t="s">
        <v>283</v>
      </c>
      <c r="E20" s="45" t="s">
        <v>284</v>
      </c>
      <c r="F20" s="55" t="str">
        <f aca="false">IF($B20="","",IFERROR(INDEX('Vendor Master'!$C$8:$C$47,MATCH($B20,'Vendor Master'!$A$8:$A$47,0)),""))</f>
        <v>IT &amp; Software</v>
      </c>
      <c r="G20" s="45" t="s">
        <v>285</v>
      </c>
      <c r="H20" s="56" t="n">
        <v>46110</v>
      </c>
      <c r="I20" s="56" t="n">
        <v>46108</v>
      </c>
      <c r="J20" s="56" t="n">
        <v>46108</v>
      </c>
      <c r="K20" s="44" t="s">
        <v>237</v>
      </c>
      <c r="L20" s="57" t="n">
        <f aca="false">IF($B20="","",IFERROR(INDEX('Vendor Master'!$G$8:$G$47,MATCH($B20,'Vendor Master'!$A$8:$A$47,0)),""))</f>
        <v>30</v>
      </c>
      <c r="M20" s="37" t="n">
        <f aca="false">IF(OR($H20="",$L20=""),"",$H20+$L20)</f>
        <v>46140</v>
      </c>
      <c r="N20" s="58" t="n">
        <v>1955.6</v>
      </c>
      <c r="O20" s="30" t="n">
        <f aca="false">IF($A20="","",SUMIFS('Payments Log'!$F$8:$F$207,'Payments Log'!$B$8:$B$207,$A20))</f>
        <v>1955.6</v>
      </c>
      <c r="P20" s="30" t="n">
        <f aca="false">IF($A20="","",ROUND($N20-$O20,2))</f>
        <v>0</v>
      </c>
      <c r="Q20" s="36" t="str">
        <f aca="false">IF($A20="","",IF(N($N20)&lt;=0,"Check Amount",IF(ROUND($O20,2)&lt;=0,"Unpaid",IF(ROUND($O20-$N20,2)&gt;0,"Overpaid",IF(ROUND($P20,2)&lt;=0,"Paid","Partially Paid")))))</f>
        <v>Paid</v>
      </c>
      <c r="R20" s="47" t="n">
        <f aca="false">IF(OR($A20="",$M20=""),"",IF(ROUND($P20,2)&lt;=0,0,MAX(0,Settings!$C$5-$M20-Settings!$C$7)))</f>
        <v>0</v>
      </c>
      <c r="S20" s="30" t="n">
        <f aca="false">IF($A20="","",IF(N($R20)&gt;0,MAX($P20,0),0))</f>
        <v>0</v>
      </c>
      <c r="T20" s="36" t="str">
        <f aca="false">IF($A20="","",IF(ROUND($P20,2)&lt;0,"Supplier Credit",IF(ROUND($P20,2)=0,"Closed",IF($M20="","No Due Date",IF(N($R20)&lt;=0,"Not Due Yet",IF(N($R20)&lt;=Settings!$C$8,"1-30 Days Overdue",IF(N($R20)&lt;=Settings!$C$9,"31-60 Days Overdue",IF(N($R20)&lt;=Settings!$C$10,"61-90 Days Overdue","90+ Days Overdue"))))))))</f>
        <v>Closed</v>
      </c>
      <c r="U20" s="37" t="n">
        <f aca="false">IF($A20="","",IF(COUNTIFS('Payments Log'!$B$8:$B$207,$A20)=0,"",SUMPRODUCT(MAX(('Payments Log'!$B$8:$B$207=$A20)*'Payments Log'!$E$8:$E$207))))</f>
        <v>46138</v>
      </c>
      <c r="V20" s="36" t="str">
        <f aca="false">IF($A20="","",IF($J20="","Not Delivered",IF($I20="","No Target Date",IF($J20&lt;=$I20,"On Time","Late"))))</f>
        <v>On Time</v>
      </c>
      <c r="W20" s="36" t="str">
        <f aca="false">IF($A20="","",IF($X20="","OK","REVIEW"))</f>
        <v>OK</v>
      </c>
      <c r="X20" s="28" t="str">
        <f aca="false">IF($A20="","",TRIM(IF($B20="","Missing vendor ID. ","")&amp;IF($C20="NOT FOUND","Vendor ID not in Vendor Master. ","")&amp;IF(COUNTIFS('Invoice &amp; Delivery Log'!$A$8:$A$157,$A20)&gt;1,"Duplicate invoice ID. ","")&amp;IF(AND($D20&lt;&gt;"",COUNTIFS('Invoice &amp; Delivery Log'!$D$8:$D$157,$D20,'Invoice &amp; Delivery Log'!$B$8:$B$157,$B20)&gt;1),"Duplicate supplier invoice number. ","")&amp;IF($E20="","Missing PO number. ","")&amp;IF($H20="","Missing invoice date. ","")&amp;IF(N($N20)&lt;=0,"Invoice amount must be greater than zero. ","")&amp;IF(AND($H20&lt;&gt;"",$H20&gt;Settings!$C$5),"Invoice date is in the future. ","")&amp;IF(AND($K20="Received in Full",$J20=""),"Missing actual delivery date. ","")&amp;IF(ROUND(N($O20)-N($N20),2)&gt;0,"Payments exceed the invoice amount. ","")&amp;IF(AND($K20="Rejected",N($O20)&gt;0),"Payment made on a rejected delivery. ","")&amp;IF(AND($B20&lt;&gt;"",IFERROR(INDEX('Vendor Master'!$H$8:$H$47,MATCH($B20,'Vendor Master'!$A$8:$A$47,0)),"")="Inactive",ROUND(N($P20),2)&gt;0),"Open balance with an inactive vendor. ","")))</f>
        <v/>
      </c>
      <c r="Y20" s="36" t="str">
        <f aca="false">IF($A20="","",IF(ROUND($P20,2)&gt;0.004,"Yes","No"))</f>
        <v>No</v>
      </c>
      <c r="Z20" s="29" t="str">
        <f aca="false">IF(OR($Y20&lt;&gt;"Yes",$M20=""),"",COUNTIFS('Invoice &amp; Delivery Log'!$Y$8:$Y$157,"Yes",'Invoice &amp; Delivery Log'!$M$8:$M$157,"&lt;"&amp;$M20)+COUNTIFS('Invoice &amp; Delivery Log'!$Y$8:$Y$157,"Yes",'Invoice &amp; Delivery Log'!$M$8:$M$157,$M20,'Invoice &amp; Delivery Log'!$A$8:$A$157,"&lt;"&amp;$A20)+1)</f>
        <v/>
      </c>
    </row>
    <row r="21" customFormat="false" ht="15" hidden="false" customHeight="true" outlineLevel="0" collapsed="false">
      <c r="A21" s="44" t="s">
        <v>286</v>
      </c>
      <c r="B21" s="44" t="s">
        <v>154</v>
      </c>
      <c r="C21" s="59" t="str">
        <f aca="false">IF($B21="","",IFERROR(INDEX('Vendor Master'!$B$8:$B$47,MATCH($B21,'Vendor Master'!$A$8:$A$47,0)),"NOT FOUND"))</f>
        <v>Ironbridge Hardware Co.</v>
      </c>
      <c r="D21" s="44" t="s">
        <v>287</v>
      </c>
      <c r="E21" s="45" t="s">
        <v>288</v>
      </c>
      <c r="F21" s="59" t="str">
        <f aca="false">IF($B21="","",IFERROR(INDEX('Vendor Master'!$C$8:$C$47,MATCH($B21,'Vendor Master'!$A$8:$A$47,0)),""))</f>
        <v>Maintenance &amp; Repair</v>
      </c>
      <c r="G21" s="45" t="s">
        <v>289</v>
      </c>
      <c r="H21" s="56" t="n">
        <v>46112</v>
      </c>
      <c r="I21" s="56" t="n">
        <v>46110</v>
      </c>
      <c r="J21" s="56" t="n">
        <v>46110</v>
      </c>
      <c r="K21" s="44" t="s">
        <v>237</v>
      </c>
      <c r="L21" s="60" t="n">
        <f aca="false">IF($B21="","",IFERROR(INDEX('Vendor Master'!$G$8:$G$47,MATCH($B21,'Vendor Master'!$A$8:$A$47,0)),""))</f>
        <v>45</v>
      </c>
      <c r="M21" s="61" t="n">
        <f aca="false">IF(OR($H21="",$L21=""),"",$H21+$L21)</f>
        <v>46157</v>
      </c>
      <c r="N21" s="58" t="n">
        <v>2627.03</v>
      </c>
      <c r="O21" s="50" t="n">
        <f aca="false">IF($A21="","",SUMIFS('Payments Log'!$F$8:$F$207,'Payments Log'!$B$8:$B$207,$A21))</f>
        <v>2627.03</v>
      </c>
      <c r="P21" s="50" t="n">
        <f aca="false">IF($A21="","",ROUND($N21-$O21,2))</f>
        <v>0</v>
      </c>
      <c r="Q21" s="53" t="str">
        <f aca="false">IF($A21="","",IF(N($N21)&lt;=0,"Check Amount",IF(ROUND($O21,2)&lt;=0,"Unpaid",IF(ROUND($O21-$N21,2)&gt;0,"Overpaid",IF(ROUND($P21,2)&lt;=0,"Paid","Partially Paid")))))</f>
        <v>Paid</v>
      </c>
      <c r="R21" s="52" t="n">
        <f aca="false">IF(OR($A21="",$M21=""),"",IF(ROUND($P21,2)&lt;=0,0,MAX(0,Settings!$C$5-$M21-Settings!$C$7)))</f>
        <v>0</v>
      </c>
      <c r="S21" s="50" t="n">
        <f aca="false">IF($A21="","",IF(N($R21)&gt;0,MAX($P21,0),0))</f>
        <v>0</v>
      </c>
      <c r="T21" s="53" t="str">
        <f aca="false">IF($A21="","",IF(ROUND($P21,2)&lt;0,"Supplier Credit",IF(ROUND($P21,2)=0,"Closed",IF($M21="","No Due Date",IF(N($R21)&lt;=0,"Not Due Yet",IF(N($R21)&lt;=Settings!$C$8,"1-30 Days Overdue",IF(N($R21)&lt;=Settings!$C$9,"31-60 Days Overdue",IF(N($R21)&lt;=Settings!$C$10,"61-90 Days Overdue","90+ Days Overdue"))))))))</f>
        <v>Closed</v>
      </c>
      <c r="U21" s="61" t="n">
        <f aca="false">IF($A21="","",IF(COUNTIFS('Payments Log'!$B$8:$B$207,$A21)=0,"",SUMPRODUCT(MAX(('Payments Log'!$B$8:$B$207=$A21)*'Payments Log'!$E$8:$E$207))))</f>
        <v>46122</v>
      </c>
      <c r="V21" s="53" t="str">
        <f aca="false">IF($A21="","",IF($J21="","Not Delivered",IF($I21="","No Target Date",IF($J21&lt;=$I21,"On Time","Late"))))</f>
        <v>On Time</v>
      </c>
      <c r="W21" s="53" t="str">
        <f aca="false">IF($A21="","",IF($X21="","OK","REVIEW"))</f>
        <v>OK</v>
      </c>
      <c r="X21" s="62" t="str">
        <f aca="false">IF($A21="","",TRIM(IF($B21="","Missing vendor ID. ","")&amp;IF($C21="NOT FOUND","Vendor ID not in Vendor Master. ","")&amp;IF(COUNTIFS('Invoice &amp; Delivery Log'!$A$8:$A$157,$A21)&gt;1,"Duplicate invoice ID. ","")&amp;IF(AND($D21&lt;&gt;"",COUNTIFS('Invoice &amp; Delivery Log'!$D$8:$D$157,$D21,'Invoice &amp; Delivery Log'!$B$8:$B$157,$B21)&gt;1),"Duplicate supplier invoice number. ","")&amp;IF($E21="","Missing PO number. ","")&amp;IF($H21="","Missing invoice date. ","")&amp;IF(N($N21)&lt;=0,"Invoice amount must be greater than zero. ","")&amp;IF(AND($H21&lt;&gt;"",$H21&gt;Settings!$C$5),"Invoice date is in the future. ","")&amp;IF(AND($K21="Received in Full",$J21=""),"Missing actual delivery date. ","")&amp;IF(ROUND(N($O21)-N($N21),2)&gt;0,"Payments exceed the invoice amount. ","")&amp;IF(AND($K21="Rejected",N($O21)&gt;0),"Payment made on a rejected delivery. ","")&amp;IF(AND($B21&lt;&gt;"",IFERROR(INDEX('Vendor Master'!$H$8:$H$47,MATCH($B21,'Vendor Master'!$A$8:$A$47,0)),"")="Inactive",ROUND(N($P21),2)&gt;0),"Open balance with an inactive vendor. ","")))</f>
        <v/>
      </c>
      <c r="Y21" s="53" t="str">
        <f aca="false">IF($A21="","",IF(ROUND($P21,2)&gt;0.004,"Yes","No"))</f>
        <v>No</v>
      </c>
      <c r="Z21" s="49" t="str">
        <f aca="false">IF(OR($Y21&lt;&gt;"Yes",$M21=""),"",COUNTIFS('Invoice &amp; Delivery Log'!$Y$8:$Y$157,"Yes",'Invoice &amp; Delivery Log'!$M$8:$M$157,"&lt;"&amp;$M21)+COUNTIFS('Invoice &amp; Delivery Log'!$Y$8:$Y$157,"Yes",'Invoice &amp; Delivery Log'!$M$8:$M$157,$M21,'Invoice &amp; Delivery Log'!$A$8:$A$157,"&lt;"&amp;$A21)+1)</f>
        <v/>
      </c>
    </row>
    <row r="22" customFormat="false" ht="15" hidden="false" customHeight="true" outlineLevel="0" collapsed="false">
      <c r="A22" s="44" t="s">
        <v>290</v>
      </c>
      <c r="B22" s="44" t="s">
        <v>141</v>
      </c>
      <c r="C22" s="55" t="str">
        <f aca="false">IF($B22="","",IFERROR(INDEX('Vendor Master'!$B$8:$B$47,MATCH($B22,'Vendor Master'!$A$8:$A$47,0)),"NOT FOUND"))</f>
        <v>Northwind Paper Supply</v>
      </c>
      <c r="D22" s="44" t="s">
        <v>291</v>
      </c>
      <c r="E22" s="45" t="s">
        <v>292</v>
      </c>
      <c r="F22" s="55" t="str">
        <f aca="false">IF($B22="","",IFERROR(INDEX('Vendor Master'!$C$8:$C$47,MATCH($B22,'Vendor Master'!$A$8:$A$47,0)),""))</f>
        <v>Office Supplies</v>
      </c>
      <c r="G22" s="45" t="s">
        <v>293</v>
      </c>
      <c r="H22" s="56" t="n">
        <v>46114</v>
      </c>
      <c r="I22" s="56" t="n">
        <v>46113</v>
      </c>
      <c r="J22" s="56" t="n">
        <v>46112</v>
      </c>
      <c r="K22" s="44" t="s">
        <v>237</v>
      </c>
      <c r="L22" s="57" t="n">
        <f aca="false">IF($B22="","",IFERROR(INDEX('Vendor Master'!$G$8:$G$47,MATCH($B22,'Vendor Master'!$A$8:$A$47,0)),""))</f>
        <v>30</v>
      </c>
      <c r="M22" s="37" t="n">
        <f aca="false">IF(OR($H22="",$L22=""),"",$H22+$L22)</f>
        <v>46144</v>
      </c>
      <c r="N22" s="58" t="n">
        <v>2483.16</v>
      </c>
      <c r="O22" s="30" t="n">
        <f aca="false">IF($A22="","",SUMIFS('Payments Log'!$F$8:$F$207,'Payments Log'!$B$8:$B$207,$A22))</f>
        <v>0</v>
      </c>
      <c r="P22" s="30" t="n">
        <f aca="false">IF($A22="","",ROUND($N22-$O22,2))</f>
        <v>2483.16</v>
      </c>
      <c r="Q22" s="36" t="str">
        <f aca="false">IF($A22="","",IF(N($N22)&lt;=0,"Check Amount",IF(ROUND($O22,2)&lt;=0,"Unpaid",IF(ROUND($O22-$N22,2)&gt;0,"Overpaid",IF(ROUND($P22,2)&lt;=0,"Paid","Partially Paid")))))</f>
        <v>Unpaid</v>
      </c>
      <c r="R22" s="47" t="n">
        <f aca="false">IF(OR($A22="",$M22=""),"",IF(ROUND($P22,2)&lt;=0,0,MAX(0,Settings!$C$5-$M22-Settings!$C$7)))</f>
        <v>128</v>
      </c>
      <c r="S22" s="30" t="n">
        <f aca="false">IF($A22="","",IF(N($R22)&gt;0,MAX($P22,0),0))</f>
        <v>2483.16</v>
      </c>
      <c r="T22" s="36" t="str">
        <f aca="false">IF($A22="","",IF(ROUND($P22,2)&lt;0,"Supplier Credit",IF(ROUND($P22,2)=0,"Closed",IF($M22="","No Due Date",IF(N($R22)&lt;=0,"Not Due Yet",IF(N($R22)&lt;=Settings!$C$8,"1-30 Days Overdue",IF(N($R22)&lt;=Settings!$C$9,"31-60 Days Overdue",IF(N($R22)&lt;=Settings!$C$10,"61-90 Days Overdue","90+ Days Overdue"))))))))</f>
        <v>90+ Days Overdue</v>
      </c>
      <c r="U22" s="37" t="str">
        <f aca="false">IF($A22="","",IF(COUNTIFS('Payments Log'!$B$8:$B$207,$A22)=0,"",SUMPRODUCT(MAX(('Payments Log'!$B$8:$B$207=$A22)*'Payments Log'!$E$8:$E$207))))</f>
        <v/>
      </c>
      <c r="V22" s="36" t="str">
        <f aca="false">IF($A22="","",IF($J22="","Not Delivered",IF($I22="","No Target Date",IF($J22&lt;=$I22,"On Time","Late"))))</f>
        <v>On Time</v>
      </c>
      <c r="W22" s="36" t="str">
        <f aca="false">IF($A22="","",IF($X22="","OK","REVIEW"))</f>
        <v>OK</v>
      </c>
      <c r="X22" s="28" t="str">
        <f aca="false">IF($A22="","",TRIM(IF($B22="","Missing vendor ID. ","")&amp;IF($C22="NOT FOUND","Vendor ID not in Vendor Master. ","")&amp;IF(COUNTIFS('Invoice &amp; Delivery Log'!$A$8:$A$157,$A22)&gt;1,"Duplicate invoice ID. ","")&amp;IF(AND($D22&lt;&gt;"",COUNTIFS('Invoice &amp; Delivery Log'!$D$8:$D$157,$D22,'Invoice &amp; Delivery Log'!$B$8:$B$157,$B22)&gt;1),"Duplicate supplier invoice number. ","")&amp;IF($E22="","Missing PO number. ","")&amp;IF($H22="","Missing invoice date. ","")&amp;IF(N($N22)&lt;=0,"Invoice amount must be greater than zero. ","")&amp;IF(AND($H22&lt;&gt;"",$H22&gt;Settings!$C$5),"Invoice date is in the future. ","")&amp;IF(AND($K22="Received in Full",$J22=""),"Missing actual delivery date. ","")&amp;IF(ROUND(N($O22)-N($N22),2)&gt;0,"Payments exceed the invoice amount. ","")&amp;IF(AND($K22="Rejected",N($O22)&gt;0),"Payment made on a rejected delivery. ","")&amp;IF(AND($B22&lt;&gt;"",IFERROR(INDEX('Vendor Master'!$H$8:$H$47,MATCH($B22,'Vendor Master'!$A$8:$A$47,0)),"")="Inactive",ROUND(N($P22),2)&gt;0),"Open balance with an inactive vendor. ","")))</f>
        <v/>
      </c>
      <c r="Y22" s="36" t="str">
        <f aca="false">IF($A22="","",IF(ROUND($P22,2)&gt;0.004,"Yes","No"))</f>
        <v>Yes</v>
      </c>
      <c r="Z22" s="29" t="n">
        <f aca="false">IF(OR($Y22&lt;&gt;"Yes",$M22=""),"",COUNTIFS('Invoice &amp; Delivery Log'!$Y$8:$Y$157,"Yes",'Invoice &amp; Delivery Log'!$M$8:$M$157,"&lt;"&amp;$M22)+COUNTIFS('Invoice &amp; Delivery Log'!$Y$8:$Y$157,"Yes",'Invoice &amp; Delivery Log'!$M$8:$M$157,$M22,'Invoice &amp; Delivery Log'!$A$8:$A$157,"&lt;"&amp;$A22)+1)</f>
        <v>2</v>
      </c>
    </row>
    <row r="23" customFormat="false" ht="15" hidden="false" customHeight="true" outlineLevel="0" collapsed="false">
      <c r="A23" s="44" t="s">
        <v>294</v>
      </c>
      <c r="B23" s="44" t="s">
        <v>154</v>
      </c>
      <c r="C23" s="59" t="str">
        <f aca="false">IF($B23="","",IFERROR(INDEX('Vendor Master'!$B$8:$B$47,MATCH($B23,'Vendor Master'!$A$8:$A$47,0)),"NOT FOUND"))</f>
        <v>Ironbridge Hardware Co.</v>
      </c>
      <c r="D23" s="44" t="s">
        <v>295</v>
      </c>
      <c r="E23" s="45" t="s">
        <v>296</v>
      </c>
      <c r="F23" s="59" t="str">
        <f aca="false">IF($B23="","",IFERROR(INDEX('Vendor Master'!$C$8:$C$47,MATCH($B23,'Vendor Master'!$A$8:$A$47,0)),""))</f>
        <v>Maintenance &amp; Repair</v>
      </c>
      <c r="G23" s="45" t="s">
        <v>289</v>
      </c>
      <c r="H23" s="56" t="n">
        <v>46116</v>
      </c>
      <c r="I23" s="56" t="n">
        <v>46113</v>
      </c>
      <c r="J23" s="56" t="n">
        <v>46116</v>
      </c>
      <c r="K23" s="44" t="s">
        <v>237</v>
      </c>
      <c r="L23" s="60" t="n">
        <f aca="false">IF($B23="","",IFERROR(INDEX('Vendor Master'!$G$8:$G$47,MATCH($B23,'Vendor Master'!$A$8:$A$47,0)),""))</f>
        <v>45</v>
      </c>
      <c r="M23" s="61" t="n">
        <f aca="false">IF(OR($H23="",$L23=""),"",$H23+$L23)</f>
        <v>46161</v>
      </c>
      <c r="N23" s="58" t="n">
        <v>3396.55</v>
      </c>
      <c r="O23" s="50" t="n">
        <f aca="false">IF($A23="","",SUMIFS('Payments Log'!$F$8:$F$207,'Payments Log'!$B$8:$B$207,$A23))</f>
        <v>3396.55</v>
      </c>
      <c r="P23" s="50" t="n">
        <f aca="false">IF($A23="","",ROUND($N23-$O23,2))</f>
        <v>0</v>
      </c>
      <c r="Q23" s="53" t="str">
        <f aca="false">IF($A23="","",IF(N($N23)&lt;=0,"Check Amount",IF(ROUND($O23,2)&lt;=0,"Unpaid",IF(ROUND($O23-$N23,2)&gt;0,"Overpaid",IF(ROUND($P23,2)&lt;=0,"Paid","Partially Paid")))))</f>
        <v>Paid</v>
      </c>
      <c r="R23" s="52" t="n">
        <f aca="false">IF(OR($A23="",$M23=""),"",IF(ROUND($P23,2)&lt;=0,0,MAX(0,Settings!$C$5-$M23-Settings!$C$7)))</f>
        <v>0</v>
      </c>
      <c r="S23" s="50" t="n">
        <f aca="false">IF($A23="","",IF(N($R23)&gt;0,MAX($P23,0),0))</f>
        <v>0</v>
      </c>
      <c r="T23" s="53" t="str">
        <f aca="false">IF($A23="","",IF(ROUND($P23,2)&lt;0,"Supplier Credit",IF(ROUND($P23,2)=0,"Closed",IF($M23="","No Due Date",IF(N($R23)&lt;=0,"Not Due Yet",IF(N($R23)&lt;=Settings!$C$8,"1-30 Days Overdue",IF(N($R23)&lt;=Settings!$C$9,"31-60 Days Overdue",IF(N($R23)&lt;=Settings!$C$10,"61-90 Days Overdue","90+ Days Overdue"))))))))</f>
        <v>Closed</v>
      </c>
      <c r="U23" s="61" t="n">
        <f aca="false">IF($A23="","",IF(COUNTIFS('Payments Log'!$B$8:$B$207,$A23)=0,"",SUMPRODUCT(MAX(('Payments Log'!$B$8:$B$207=$A23)*'Payments Log'!$E$8:$E$207))))</f>
        <v>46121</v>
      </c>
      <c r="V23" s="53" t="str">
        <f aca="false">IF($A23="","",IF($J23="","Not Delivered",IF($I23="","No Target Date",IF($J23&lt;=$I23,"On Time","Late"))))</f>
        <v>Late</v>
      </c>
      <c r="W23" s="53" t="str">
        <f aca="false">IF($A23="","",IF($X23="","OK","REVIEW"))</f>
        <v>OK</v>
      </c>
      <c r="X23" s="62" t="str">
        <f aca="false">IF($A23="","",TRIM(IF($B23="","Missing vendor ID. ","")&amp;IF($C23="NOT FOUND","Vendor ID not in Vendor Master. ","")&amp;IF(COUNTIFS('Invoice &amp; Delivery Log'!$A$8:$A$157,$A23)&gt;1,"Duplicate invoice ID. ","")&amp;IF(AND($D23&lt;&gt;"",COUNTIFS('Invoice &amp; Delivery Log'!$D$8:$D$157,$D23,'Invoice &amp; Delivery Log'!$B$8:$B$157,$B23)&gt;1),"Duplicate supplier invoice number. ","")&amp;IF($E23="","Missing PO number. ","")&amp;IF($H23="","Missing invoice date. ","")&amp;IF(N($N23)&lt;=0,"Invoice amount must be greater than zero. ","")&amp;IF(AND($H23&lt;&gt;"",$H23&gt;Settings!$C$5),"Invoice date is in the future. ","")&amp;IF(AND($K23="Received in Full",$J23=""),"Missing actual delivery date. ","")&amp;IF(ROUND(N($O23)-N($N23),2)&gt;0,"Payments exceed the invoice amount. ","")&amp;IF(AND($K23="Rejected",N($O23)&gt;0),"Payment made on a rejected delivery. ","")&amp;IF(AND($B23&lt;&gt;"",IFERROR(INDEX('Vendor Master'!$H$8:$H$47,MATCH($B23,'Vendor Master'!$A$8:$A$47,0)),"")="Inactive",ROUND(N($P23),2)&gt;0),"Open balance with an inactive vendor. ","")))</f>
        <v/>
      </c>
      <c r="Y23" s="53" t="str">
        <f aca="false">IF($A23="","",IF(ROUND($P23,2)&gt;0.004,"Yes","No"))</f>
        <v>No</v>
      </c>
      <c r="Z23" s="49" t="str">
        <f aca="false">IF(OR($Y23&lt;&gt;"Yes",$M23=""),"",COUNTIFS('Invoice &amp; Delivery Log'!$Y$8:$Y$157,"Yes",'Invoice &amp; Delivery Log'!$M$8:$M$157,"&lt;"&amp;$M23)+COUNTIFS('Invoice &amp; Delivery Log'!$Y$8:$Y$157,"Yes",'Invoice &amp; Delivery Log'!$M$8:$M$157,$M23,'Invoice &amp; Delivery Log'!$A$8:$A$157,"&lt;"&amp;$A23)+1)</f>
        <v/>
      </c>
    </row>
    <row r="24" customFormat="false" ht="15" hidden="false" customHeight="true" outlineLevel="0" collapsed="false">
      <c r="A24" s="44" t="s">
        <v>297</v>
      </c>
      <c r="B24" s="44" t="s">
        <v>190</v>
      </c>
      <c r="C24" s="55" t="str">
        <f aca="false">IF($B24="","",IFERROR(INDEX('Vendor Master'!$B$8:$B$47,MATCH($B24,'Vendor Master'!$A$8:$A$47,0)),"NOT FOUND"))</f>
        <v>Vertex IT Solutions</v>
      </c>
      <c r="D24" s="44" t="s">
        <v>298</v>
      </c>
      <c r="E24" s="45" t="s">
        <v>299</v>
      </c>
      <c r="F24" s="55" t="str">
        <f aca="false">IF($B24="","",IFERROR(INDEX('Vendor Master'!$C$8:$C$47,MATCH($B24,'Vendor Master'!$A$8:$A$47,0)),""))</f>
        <v>IT &amp; Software</v>
      </c>
      <c r="G24" s="45" t="s">
        <v>300</v>
      </c>
      <c r="H24" s="56" t="n">
        <v>46116</v>
      </c>
      <c r="I24" s="56" t="n">
        <v>46114</v>
      </c>
      <c r="J24" s="56" t="n">
        <v>46114</v>
      </c>
      <c r="K24" s="44" t="s">
        <v>237</v>
      </c>
      <c r="L24" s="57" t="n">
        <f aca="false">IF($B24="","",IFERROR(INDEX('Vendor Master'!$G$8:$G$47,MATCH($B24,'Vendor Master'!$A$8:$A$47,0)),""))</f>
        <v>30</v>
      </c>
      <c r="M24" s="37" t="n">
        <f aca="false">IF(OR($H24="",$L24=""),"",$H24+$L24)</f>
        <v>46146</v>
      </c>
      <c r="N24" s="58" t="n">
        <v>9228.89</v>
      </c>
      <c r="O24" s="30" t="n">
        <f aca="false">IF($A24="","",SUMIFS('Payments Log'!$F$8:$F$207,'Payments Log'!$B$8:$B$207,$A24))</f>
        <v>9228.89</v>
      </c>
      <c r="P24" s="30" t="n">
        <f aca="false">IF($A24="","",ROUND($N24-$O24,2))</f>
        <v>0</v>
      </c>
      <c r="Q24" s="36" t="str">
        <f aca="false">IF($A24="","",IF(N($N24)&lt;=0,"Check Amount",IF(ROUND($O24,2)&lt;=0,"Unpaid",IF(ROUND($O24-$N24,2)&gt;0,"Overpaid",IF(ROUND($P24,2)&lt;=0,"Paid","Partially Paid")))))</f>
        <v>Paid</v>
      </c>
      <c r="R24" s="47" t="n">
        <f aca="false">IF(OR($A24="",$M24=""),"",IF(ROUND($P24,2)&lt;=0,0,MAX(0,Settings!$C$5-$M24-Settings!$C$7)))</f>
        <v>0</v>
      </c>
      <c r="S24" s="30" t="n">
        <f aca="false">IF($A24="","",IF(N($R24)&gt;0,MAX($P24,0),0))</f>
        <v>0</v>
      </c>
      <c r="T24" s="36" t="str">
        <f aca="false">IF($A24="","",IF(ROUND($P24,2)&lt;0,"Supplier Credit",IF(ROUND($P24,2)=0,"Closed",IF($M24="","No Due Date",IF(N($R24)&lt;=0,"Not Due Yet",IF(N($R24)&lt;=Settings!$C$8,"1-30 Days Overdue",IF(N($R24)&lt;=Settings!$C$9,"31-60 Days Overdue",IF(N($R24)&lt;=Settings!$C$10,"61-90 Days Overdue","90+ Days Overdue"))))))))</f>
        <v>Closed</v>
      </c>
      <c r="U24" s="37" t="n">
        <f aca="false">IF($A24="","",IF(COUNTIFS('Payments Log'!$B$8:$B$207,$A24)=0,"",SUMPRODUCT(MAX(('Payments Log'!$B$8:$B$207=$A24)*'Payments Log'!$E$8:$E$207))))</f>
        <v>46136</v>
      </c>
      <c r="V24" s="36" t="str">
        <f aca="false">IF($A24="","",IF($J24="","Not Delivered",IF($I24="","No Target Date",IF($J24&lt;=$I24,"On Time","Late"))))</f>
        <v>On Time</v>
      </c>
      <c r="W24" s="36" t="str">
        <f aca="false">IF($A24="","",IF($X24="","OK","REVIEW"))</f>
        <v>OK</v>
      </c>
      <c r="X24" s="28" t="str">
        <f aca="false">IF($A24="","",TRIM(IF($B24="","Missing vendor ID. ","")&amp;IF($C24="NOT FOUND","Vendor ID not in Vendor Master. ","")&amp;IF(COUNTIFS('Invoice &amp; Delivery Log'!$A$8:$A$157,$A24)&gt;1,"Duplicate invoice ID. ","")&amp;IF(AND($D24&lt;&gt;"",COUNTIFS('Invoice &amp; Delivery Log'!$D$8:$D$157,$D24,'Invoice &amp; Delivery Log'!$B$8:$B$157,$B24)&gt;1),"Duplicate supplier invoice number. ","")&amp;IF($E24="","Missing PO number. ","")&amp;IF($H24="","Missing invoice date. ","")&amp;IF(N($N24)&lt;=0,"Invoice amount must be greater than zero. ","")&amp;IF(AND($H24&lt;&gt;"",$H24&gt;Settings!$C$5),"Invoice date is in the future. ","")&amp;IF(AND($K24="Received in Full",$J24=""),"Missing actual delivery date. ","")&amp;IF(ROUND(N($O24)-N($N24),2)&gt;0,"Payments exceed the invoice amount. ","")&amp;IF(AND($K24="Rejected",N($O24)&gt;0),"Payment made on a rejected delivery. ","")&amp;IF(AND($B24&lt;&gt;"",IFERROR(INDEX('Vendor Master'!$H$8:$H$47,MATCH($B24,'Vendor Master'!$A$8:$A$47,0)),"")="Inactive",ROUND(N($P24),2)&gt;0),"Open balance with an inactive vendor. ","")))</f>
        <v/>
      </c>
      <c r="Y24" s="36" t="str">
        <f aca="false">IF($A24="","",IF(ROUND($P24,2)&gt;0.004,"Yes","No"))</f>
        <v>No</v>
      </c>
      <c r="Z24" s="29" t="str">
        <f aca="false">IF(OR($Y24&lt;&gt;"Yes",$M24=""),"",COUNTIFS('Invoice &amp; Delivery Log'!$Y$8:$Y$157,"Yes",'Invoice &amp; Delivery Log'!$M$8:$M$157,"&lt;"&amp;$M24)+COUNTIFS('Invoice &amp; Delivery Log'!$Y$8:$Y$157,"Yes",'Invoice &amp; Delivery Log'!$M$8:$M$157,$M24,'Invoice &amp; Delivery Log'!$A$8:$A$157,"&lt;"&amp;$A24)+1)</f>
        <v/>
      </c>
    </row>
    <row r="25" customFormat="false" ht="15" hidden="false" customHeight="true" outlineLevel="0" collapsed="false">
      <c r="A25" s="44" t="s">
        <v>301</v>
      </c>
      <c r="B25" s="44" t="s">
        <v>148</v>
      </c>
      <c r="C25" s="59" t="str">
        <f aca="false">IF($B25="","",IFERROR(INDEX('Vendor Master'!$B$8:$B$47,MATCH($B25,'Vendor Master'!$A$8:$A$47,0)),"NOT FOUND"))</f>
        <v>Cascade Foods Distribution</v>
      </c>
      <c r="D25" s="44" t="s">
        <v>302</v>
      </c>
      <c r="E25" s="45"/>
      <c r="F25" s="59" t="str">
        <f aca="false">IF($B25="","",IFERROR(INDEX('Vendor Master'!$C$8:$C$47,MATCH($B25,'Vendor Master'!$A$8:$A$47,0)),""))</f>
        <v>Food &amp; Beverage</v>
      </c>
      <c r="G25" s="45" t="s">
        <v>249</v>
      </c>
      <c r="H25" s="56" t="n">
        <v>46120</v>
      </c>
      <c r="I25" s="56" t="n">
        <v>46115</v>
      </c>
      <c r="J25" s="56" t="n">
        <v>46119</v>
      </c>
      <c r="K25" s="44" t="s">
        <v>245</v>
      </c>
      <c r="L25" s="60" t="n">
        <f aca="false">IF($B25="","",IFERROR(INDEX('Vendor Master'!$G$8:$G$47,MATCH($B25,'Vendor Master'!$A$8:$A$47,0)),""))</f>
        <v>15</v>
      </c>
      <c r="M25" s="61" t="n">
        <f aca="false">IF(OR($H25="",$L25=""),"",$H25+$L25)</f>
        <v>46135</v>
      </c>
      <c r="N25" s="58" t="n">
        <v>1852.04</v>
      </c>
      <c r="O25" s="50" t="n">
        <f aca="false">IF($A25="","",SUMIFS('Payments Log'!$F$8:$F$207,'Payments Log'!$B$8:$B$207,$A25))</f>
        <v>1852.04</v>
      </c>
      <c r="P25" s="50" t="n">
        <f aca="false">IF($A25="","",ROUND($N25-$O25,2))</f>
        <v>0</v>
      </c>
      <c r="Q25" s="53" t="str">
        <f aca="false">IF($A25="","",IF(N($N25)&lt;=0,"Check Amount",IF(ROUND($O25,2)&lt;=0,"Unpaid",IF(ROUND($O25-$N25,2)&gt;0,"Overpaid",IF(ROUND($P25,2)&lt;=0,"Paid","Partially Paid")))))</f>
        <v>Paid</v>
      </c>
      <c r="R25" s="52" t="n">
        <f aca="false">IF(OR($A25="",$M25=""),"",IF(ROUND($P25,2)&lt;=0,0,MAX(0,Settings!$C$5-$M25-Settings!$C$7)))</f>
        <v>0</v>
      </c>
      <c r="S25" s="50" t="n">
        <f aca="false">IF($A25="","",IF(N($R25)&gt;0,MAX($P25,0),0))</f>
        <v>0</v>
      </c>
      <c r="T25" s="53" t="str">
        <f aca="false">IF($A25="","",IF(ROUND($P25,2)&lt;0,"Supplier Credit",IF(ROUND($P25,2)=0,"Closed",IF($M25="","No Due Date",IF(N($R25)&lt;=0,"Not Due Yet",IF(N($R25)&lt;=Settings!$C$8,"1-30 Days Overdue",IF(N($R25)&lt;=Settings!$C$9,"31-60 Days Overdue",IF(N($R25)&lt;=Settings!$C$10,"61-90 Days Overdue","90+ Days Overdue"))))))))</f>
        <v>Closed</v>
      </c>
      <c r="U25" s="61" t="n">
        <f aca="false">IF($A25="","",IF(COUNTIFS('Payments Log'!$B$8:$B$207,$A25)=0,"",SUMPRODUCT(MAX(('Payments Log'!$B$8:$B$207=$A25)*'Payments Log'!$E$8:$E$207))))</f>
        <v>46135</v>
      </c>
      <c r="V25" s="53" t="str">
        <f aca="false">IF($A25="","",IF($J25="","Not Delivered",IF($I25="","No Target Date",IF($J25&lt;=$I25,"On Time","Late"))))</f>
        <v>Late</v>
      </c>
      <c r="W25" s="53" t="str">
        <f aca="false">IF($A25="","",IF($X25="","OK","REVIEW"))</f>
        <v>REVIEW</v>
      </c>
      <c r="X25" s="62" t="str">
        <f aca="false">IF($A25="","",TRIM(IF($B25="","Missing vendor ID. ","")&amp;IF($C25="NOT FOUND","Vendor ID not in Vendor Master. ","")&amp;IF(COUNTIFS('Invoice &amp; Delivery Log'!$A$8:$A$157,$A25)&gt;1,"Duplicate invoice ID. ","")&amp;IF(AND($D25&lt;&gt;"",COUNTIFS('Invoice &amp; Delivery Log'!$D$8:$D$157,$D25,'Invoice &amp; Delivery Log'!$B$8:$B$157,$B25)&gt;1),"Duplicate supplier invoice number. ","")&amp;IF($E25="","Missing PO number. ","")&amp;IF($H25="","Missing invoice date. ","")&amp;IF(N($N25)&lt;=0,"Invoice amount must be greater than zero. ","")&amp;IF(AND($H25&lt;&gt;"",$H25&gt;Settings!$C$5),"Invoice date is in the future. ","")&amp;IF(AND($K25="Received in Full",$J25=""),"Missing actual delivery date. ","")&amp;IF(ROUND(N($O25)-N($N25),2)&gt;0,"Payments exceed the invoice amount. ","")&amp;IF(AND($K25="Rejected",N($O25)&gt;0),"Payment made on a rejected delivery. ","")&amp;IF(AND($B25&lt;&gt;"",IFERROR(INDEX('Vendor Master'!$H$8:$H$47,MATCH($B25,'Vendor Master'!$A$8:$A$47,0)),"")="Inactive",ROUND(N($P25),2)&gt;0),"Open balance with an inactive vendor. ","")))</f>
        <v>Missing PO number.</v>
      </c>
      <c r="Y25" s="53" t="str">
        <f aca="false">IF($A25="","",IF(ROUND($P25,2)&gt;0.004,"Yes","No"))</f>
        <v>No</v>
      </c>
      <c r="Z25" s="49" t="str">
        <f aca="false">IF(OR($Y25&lt;&gt;"Yes",$M25=""),"",COUNTIFS('Invoice &amp; Delivery Log'!$Y$8:$Y$157,"Yes",'Invoice &amp; Delivery Log'!$M$8:$M$157,"&lt;"&amp;$M25)+COUNTIFS('Invoice &amp; Delivery Log'!$Y$8:$Y$157,"Yes",'Invoice &amp; Delivery Log'!$M$8:$M$157,$M25,'Invoice &amp; Delivery Log'!$A$8:$A$157,"&lt;"&amp;$A25)+1)</f>
        <v/>
      </c>
    </row>
    <row r="26" customFormat="false" ht="15" hidden="false" customHeight="true" outlineLevel="0" collapsed="false">
      <c r="A26" s="44" t="s">
        <v>303</v>
      </c>
      <c r="B26" s="44" t="s">
        <v>172</v>
      </c>
      <c r="C26" s="55" t="str">
        <f aca="false">IF($B26="","",IFERROR(INDEX('Vendor Master'!$B$8:$B$47,MATCH($B26,'Vendor Master'!$A$8:$A$47,0)),"NOT FOUND"))</f>
        <v>Harborline Logistics</v>
      </c>
      <c r="D26" s="44" t="s">
        <v>304</v>
      </c>
      <c r="E26" s="45" t="s">
        <v>305</v>
      </c>
      <c r="F26" s="55" t="str">
        <f aca="false">IF($B26="","",IFERROR(INDEX('Vendor Master'!$C$8:$C$47,MATCH($B26,'Vendor Master'!$A$8:$A$47,0)),""))</f>
        <v>Logistics</v>
      </c>
      <c r="G26" s="45" t="s">
        <v>253</v>
      </c>
      <c r="H26" s="56" t="n">
        <v>46138</v>
      </c>
      <c r="I26" s="56" t="n">
        <v>46123</v>
      </c>
      <c r="J26" s="56" t="n">
        <v>46135</v>
      </c>
      <c r="K26" s="44" t="s">
        <v>237</v>
      </c>
      <c r="L26" s="57" t="n">
        <f aca="false">IF($B26="","",IFERROR(INDEX('Vendor Master'!$G$8:$G$47,MATCH($B26,'Vendor Master'!$A$8:$A$47,0)),""))</f>
        <v>30</v>
      </c>
      <c r="M26" s="37" t="n">
        <f aca="false">IF(OR($H26="",$L26=""),"",$H26+$L26)</f>
        <v>46168</v>
      </c>
      <c r="N26" s="58" t="n">
        <v>1723.89</v>
      </c>
      <c r="O26" s="30" t="n">
        <f aca="false">IF($A26="","",SUMIFS('Payments Log'!$F$8:$F$207,'Payments Log'!$B$8:$B$207,$A26))</f>
        <v>956.19</v>
      </c>
      <c r="P26" s="30" t="n">
        <f aca="false">IF($A26="","",ROUND($N26-$O26,2))</f>
        <v>767.7</v>
      </c>
      <c r="Q26" s="36" t="str">
        <f aca="false">IF($A26="","",IF(N($N26)&lt;=0,"Check Amount",IF(ROUND($O26,2)&lt;=0,"Unpaid",IF(ROUND($O26-$N26,2)&gt;0,"Overpaid",IF(ROUND($P26,2)&lt;=0,"Paid","Partially Paid")))))</f>
        <v>Partially Paid</v>
      </c>
      <c r="R26" s="47" t="n">
        <f aca="false">IF(OR($A26="",$M26=""),"",IF(ROUND($P26,2)&lt;=0,0,MAX(0,Settings!$C$5-$M26-Settings!$C$7)))</f>
        <v>104</v>
      </c>
      <c r="S26" s="30" t="n">
        <f aca="false">IF($A26="","",IF(N($R26)&gt;0,MAX($P26,0),0))</f>
        <v>767.7</v>
      </c>
      <c r="T26" s="36" t="str">
        <f aca="false">IF($A26="","",IF(ROUND($P26,2)&lt;0,"Supplier Credit",IF(ROUND($P26,2)=0,"Closed",IF($M26="","No Due Date",IF(N($R26)&lt;=0,"Not Due Yet",IF(N($R26)&lt;=Settings!$C$8,"1-30 Days Overdue",IF(N($R26)&lt;=Settings!$C$9,"31-60 Days Overdue",IF(N($R26)&lt;=Settings!$C$10,"61-90 Days Overdue","90+ Days Overdue"))))))))</f>
        <v>90+ Days Overdue</v>
      </c>
      <c r="U26" s="37" t="n">
        <f aca="false">IF($A26="","",IF(COUNTIFS('Payments Log'!$B$8:$B$207,$A26)=0,"",SUMPRODUCT(MAX(('Payments Log'!$B$8:$B$207=$A26)*'Payments Log'!$E$8:$E$207))))</f>
        <v>46162</v>
      </c>
      <c r="V26" s="36" t="str">
        <f aca="false">IF($A26="","",IF($J26="","Not Delivered",IF($I26="","No Target Date",IF($J26&lt;=$I26,"On Time","Late"))))</f>
        <v>Late</v>
      </c>
      <c r="W26" s="36" t="str">
        <f aca="false">IF($A26="","",IF($X26="","OK","REVIEW"))</f>
        <v>OK</v>
      </c>
      <c r="X26" s="28" t="str">
        <f aca="false">IF($A26="","",TRIM(IF($B26="","Missing vendor ID. ","")&amp;IF($C26="NOT FOUND","Vendor ID not in Vendor Master. ","")&amp;IF(COUNTIFS('Invoice &amp; Delivery Log'!$A$8:$A$157,$A26)&gt;1,"Duplicate invoice ID. ","")&amp;IF(AND($D26&lt;&gt;"",COUNTIFS('Invoice &amp; Delivery Log'!$D$8:$D$157,$D26,'Invoice &amp; Delivery Log'!$B$8:$B$157,$B26)&gt;1),"Duplicate supplier invoice number. ","")&amp;IF($E26="","Missing PO number. ","")&amp;IF($H26="","Missing invoice date. ","")&amp;IF(N($N26)&lt;=0,"Invoice amount must be greater than zero. ","")&amp;IF(AND($H26&lt;&gt;"",$H26&gt;Settings!$C$5),"Invoice date is in the future. ","")&amp;IF(AND($K26="Received in Full",$J26=""),"Missing actual delivery date. ","")&amp;IF(ROUND(N($O26)-N($N26),2)&gt;0,"Payments exceed the invoice amount. ","")&amp;IF(AND($K26="Rejected",N($O26)&gt;0),"Payment made on a rejected delivery. ","")&amp;IF(AND($B26&lt;&gt;"",IFERROR(INDEX('Vendor Master'!$H$8:$H$47,MATCH($B26,'Vendor Master'!$A$8:$A$47,0)),"")="Inactive",ROUND(N($P26),2)&gt;0),"Open balance with an inactive vendor. ","")))</f>
        <v/>
      </c>
      <c r="Y26" s="36" t="str">
        <f aca="false">IF($A26="","",IF(ROUND($P26,2)&gt;0.004,"Yes","No"))</f>
        <v>Yes</v>
      </c>
      <c r="Z26" s="29" t="n">
        <f aca="false">IF(OR($Y26&lt;&gt;"Yes",$M26=""),"",COUNTIFS('Invoice &amp; Delivery Log'!$Y$8:$Y$157,"Yes",'Invoice &amp; Delivery Log'!$M$8:$M$157,"&lt;"&amp;$M26)+COUNTIFS('Invoice &amp; Delivery Log'!$Y$8:$Y$157,"Yes",'Invoice &amp; Delivery Log'!$M$8:$M$157,$M26,'Invoice &amp; Delivery Log'!$A$8:$A$157,"&lt;"&amp;$A26)+1)</f>
        <v>4</v>
      </c>
    </row>
    <row r="27" customFormat="false" ht="15" hidden="false" customHeight="true" outlineLevel="0" collapsed="false">
      <c r="A27" s="44" t="s">
        <v>306</v>
      </c>
      <c r="B27" s="44" t="s">
        <v>160</v>
      </c>
      <c r="C27" s="59" t="str">
        <f aca="false">IF($B27="","",IFERROR(INDEX('Vendor Master'!$B$8:$B$47,MATCH($B27,'Vendor Master'!$A$8:$A$47,0)),"NOT FOUND"))</f>
        <v>Lakeshore Packaging Group</v>
      </c>
      <c r="D27" s="44" t="s">
        <v>307</v>
      </c>
      <c r="E27" s="45" t="s">
        <v>308</v>
      </c>
      <c r="F27" s="59" t="str">
        <f aca="false">IF($B27="","",IFERROR(INDEX('Vendor Master'!$C$8:$C$47,MATCH($B27,'Vendor Master'!$A$8:$A$47,0)),""))</f>
        <v>Packaging</v>
      </c>
      <c r="G27" s="45" t="s">
        <v>309</v>
      </c>
      <c r="H27" s="56" t="n">
        <v>46125</v>
      </c>
      <c r="I27" s="56" t="n">
        <v>46125</v>
      </c>
      <c r="J27" s="56" t="n">
        <v>46125</v>
      </c>
      <c r="K27" s="44" t="s">
        <v>237</v>
      </c>
      <c r="L27" s="60" t="n">
        <f aca="false">IF($B27="","",IFERROR(INDEX('Vendor Master'!$G$8:$G$47,MATCH($B27,'Vendor Master'!$A$8:$A$47,0)),""))</f>
        <v>30</v>
      </c>
      <c r="M27" s="61" t="n">
        <f aca="false">IF(OR($H27="",$L27=""),"",$H27+$L27)</f>
        <v>46155</v>
      </c>
      <c r="N27" s="58" t="n">
        <v>4971.12</v>
      </c>
      <c r="O27" s="50" t="n">
        <f aca="false">IF($A27="","",SUMIFS('Payments Log'!$F$8:$F$207,'Payments Log'!$B$8:$B$207,$A27))</f>
        <v>4971.12</v>
      </c>
      <c r="P27" s="50" t="n">
        <f aca="false">IF($A27="","",ROUND($N27-$O27,2))</f>
        <v>0</v>
      </c>
      <c r="Q27" s="53" t="str">
        <f aca="false">IF($A27="","",IF(N($N27)&lt;=0,"Check Amount",IF(ROUND($O27,2)&lt;=0,"Unpaid",IF(ROUND($O27-$N27,2)&gt;0,"Overpaid",IF(ROUND($P27,2)&lt;=0,"Paid","Partially Paid")))))</f>
        <v>Paid</v>
      </c>
      <c r="R27" s="52" t="n">
        <f aca="false">IF(OR($A27="",$M27=""),"",IF(ROUND($P27,2)&lt;=0,0,MAX(0,Settings!$C$5-$M27-Settings!$C$7)))</f>
        <v>0</v>
      </c>
      <c r="S27" s="50" t="n">
        <f aca="false">IF($A27="","",IF(N($R27)&gt;0,MAX($P27,0),0))</f>
        <v>0</v>
      </c>
      <c r="T27" s="53" t="str">
        <f aca="false">IF($A27="","",IF(ROUND($P27,2)&lt;0,"Supplier Credit",IF(ROUND($P27,2)=0,"Closed",IF($M27="","No Due Date",IF(N($R27)&lt;=0,"Not Due Yet",IF(N($R27)&lt;=Settings!$C$8,"1-30 Days Overdue",IF(N($R27)&lt;=Settings!$C$9,"31-60 Days Overdue",IF(N($R27)&lt;=Settings!$C$10,"61-90 Days Overdue","90+ Days Overdue"))))))))</f>
        <v>Closed</v>
      </c>
      <c r="U27" s="61" t="n">
        <f aca="false">IF($A27="","",IF(COUNTIFS('Payments Log'!$B$8:$B$207,$A27)=0,"",SUMPRODUCT(MAX(('Payments Log'!$B$8:$B$207=$A27)*'Payments Log'!$E$8:$E$207))))</f>
        <v>46138</v>
      </c>
      <c r="V27" s="53" t="str">
        <f aca="false">IF($A27="","",IF($J27="","Not Delivered",IF($I27="","No Target Date",IF($J27&lt;=$I27,"On Time","Late"))))</f>
        <v>On Time</v>
      </c>
      <c r="W27" s="53" t="str">
        <f aca="false">IF($A27="","",IF($X27="","OK","REVIEW"))</f>
        <v>REVIEW</v>
      </c>
      <c r="X27" s="62" t="str">
        <f aca="false">IF($A27="","",TRIM(IF($B27="","Missing vendor ID. ","")&amp;IF($C27="NOT FOUND","Vendor ID not in Vendor Master. ","")&amp;IF(COUNTIFS('Invoice &amp; Delivery Log'!$A$8:$A$157,$A27)&gt;1,"Duplicate invoice ID. ","")&amp;IF(AND($D27&lt;&gt;"",COUNTIFS('Invoice &amp; Delivery Log'!$D$8:$D$157,$D27,'Invoice &amp; Delivery Log'!$B$8:$B$157,$B27)&gt;1),"Duplicate supplier invoice number. ","")&amp;IF($E27="","Missing PO number. ","")&amp;IF($H27="","Missing invoice date. ","")&amp;IF(N($N27)&lt;=0,"Invoice amount must be greater than zero. ","")&amp;IF(AND($H27&lt;&gt;"",$H27&gt;Settings!$C$5),"Invoice date is in the future. ","")&amp;IF(AND($K27="Received in Full",$J27=""),"Missing actual delivery date. ","")&amp;IF(ROUND(N($O27)-N($N27),2)&gt;0,"Payments exceed the invoice amount. ","")&amp;IF(AND($K27="Rejected",N($O27)&gt;0),"Payment made on a rejected delivery. ","")&amp;IF(AND($B27&lt;&gt;"",IFERROR(INDEX('Vendor Master'!$H$8:$H$47,MATCH($B27,'Vendor Master'!$A$8:$A$47,0)),"")="Inactive",ROUND(N($P27),2)&gt;0),"Open balance with an inactive vendor. ","")))</f>
        <v>Duplicate supplier invoice number.</v>
      </c>
      <c r="Y27" s="53" t="str">
        <f aca="false">IF($A27="","",IF(ROUND($P27,2)&gt;0.004,"Yes","No"))</f>
        <v>No</v>
      </c>
      <c r="Z27" s="49" t="str">
        <f aca="false">IF(OR($Y27&lt;&gt;"Yes",$M27=""),"",COUNTIFS('Invoice &amp; Delivery Log'!$Y$8:$Y$157,"Yes",'Invoice &amp; Delivery Log'!$M$8:$M$157,"&lt;"&amp;$M27)+COUNTIFS('Invoice &amp; Delivery Log'!$Y$8:$Y$157,"Yes",'Invoice &amp; Delivery Log'!$M$8:$M$157,$M27,'Invoice &amp; Delivery Log'!$A$8:$A$157,"&lt;"&amp;$A27)+1)</f>
        <v/>
      </c>
    </row>
    <row r="28" customFormat="false" ht="15" hidden="false" customHeight="true" outlineLevel="0" collapsed="false">
      <c r="A28" s="44" t="s">
        <v>310</v>
      </c>
      <c r="B28" s="44" t="s">
        <v>178</v>
      </c>
      <c r="C28" s="55" t="str">
        <f aca="false">IF($B28="","",IFERROR(INDEX('Vendor Master'!$B$8:$B$47,MATCH($B28,'Vendor Master'!$A$8:$A$47,0)),"NOT FOUND"))</f>
        <v>Bluepoint Electrical Supply</v>
      </c>
      <c r="D28" s="44" t="s">
        <v>311</v>
      </c>
      <c r="E28" s="45" t="s">
        <v>312</v>
      </c>
      <c r="F28" s="55" t="str">
        <f aca="false">IF($B28="","",IFERROR(INDEX('Vendor Master'!$C$8:$C$47,MATCH($B28,'Vendor Master'!$A$8:$A$47,0)),""))</f>
        <v>Electrical</v>
      </c>
      <c r="G28" s="45" t="s">
        <v>313</v>
      </c>
      <c r="H28" s="56" t="n">
        <v>46139</v>
      </c>
      <c r="I28" s="56" t="n">
        <v>46128</v>
      </c>
      <c r="J28" s="56" t="n">
        <v>46136</v>
      </c>
      <c r="K28" s="44" t="s">
        <v>237</v>
      </c>
      <c r="L28" s="57" t="n">
        <f aca="false">IF($B28="","",IFERROR(INDEX('Vendor Master'!$G$8:$G$47,MATCH($B28,'Vendor Master'!$A$8:$A$47,0)),""))</f>
        <v>30</v>
      </c>
      <c r="M28" s="37" t="n">
        <f aca="false">IF(OR($H28="",$L28=""),"",$H28+$L28)</f>
        <v>46169</v>
      </c>
      <c r="N28" s="58" t="n">
        <v>2112.2</v>
      </c>
      <c r="O28" s="30" t="n">
        <f aca="false">IF($A28="","",SUMIFS('Payments Log'!$F$8:$F$207,'Payments Log'!$B$8:$B$207,$A28))</f>
        <v>2112.2</v>
      </c>
      <c r="P28" s="30" t="n">
        <f aca="false">IF($A28="","",ROUND($N28-$O28,2))</f>
        <v>0</v>
      </c>
      <c r="Q28" s="36" t="str">
        <f aca="false">IF($A28="","",IF(N($N28)&lt;=0,"Check Amount",IF(ROUND($O28,2)&lt;=0,"Unpaid",IF(ROUND($O28-$N28,2)&gt;0,"Overpaid",IF(ROUND($P28,2)&lt;=0,"Paid","Partially Paid")))))</f>
        <v>Paid</v>
      </c>
      <c r="R28" s="47" t="n">
        <f aca="false">IF(OR($A28="",$M28=""),"",IF(ROUND($P28,2)&lt;=0,0,MAX(0,Settings!$C$5-$M28-Settings!$C$7)))</f>
        <v>0</v>
      </c>
      <c r="S28" s="30" t="n">
        <f aca="false">IF($A28="","",IF(N($R28)&gt;0,MAX($P28,0),0))</f>
        <v>0</v>
      </c>
      <c r="T28" s="36" t="str">
        <f aca="false">IF($A28="","",IF(ROUND($P28,2)&lt;0,"Supplier Credit",IF(ROUND($P28,2)=0,"Closed",IF($M28="","No Due Date",IF(N($R28)&lt;=0,"Not Due Yet",IF(N($R28)&lt;=Settings!$C$8,"1-30 Days Overdue",IF(N($R28)&lt;=Settings!$C$9,"31-60 Days Overdue",IF(N($R28)&lt;=Settings!$C$10,"61-90 Days Overdue","90+ Days Overdue"))))))))</f>
        <v>Closed</v>
      </c>
      <c r="U28" s="37" t="n">
        <f aca="false">IF($A28="","",IF(COUNTIFS('Payments Log'!$B$8:$B$207,$A28)=0,"",SUMPRODUCT(MAX(('Payments Log'!$B$8:$B$207=$A28)*'Payments Log'!$E$8:$E$207))))</f>
        <v>46163</v>
      </c>
      <c r="V28" s="36" t="str">
        <f aca="false">IF($A28="","",IF($J28="","Not Delivered",IF($I28="","No Target Date",IF($J28&lt;=$I28,"On Time","Late"))))</f>
        <v>Late</v>
      </c>
      <c r="W28" s="36" t="str">
        <f aca="false">IF($A28="","",IF($X28="","OK","REVIEW"))</f>
        <v>OK</v>
      </c>
      <c r="X28" s="28" t="str">
        <f aca="false">IF($A28="","",TRIM(IF($B28="","Missing vendor ID. ","")&amp;IF($C28="NOT FOUND","Vendor ID not in Vendor Master. ","")&amp;IF(COUNTIFS('Invoice &amp; Delivery Log'!$A$8:$A$157,$A28)&gt;1,"Duplicate invoice ID. ","")&amp;IF(AND($D28&lt;&gt;"",COUNTIFS('Invoice &amp; Delivery Log'!$D$8:$D$157,$D28,'Invoice &amp; Delivery Log'!$B$8:$B$157,$B28)&gt;1),"Duplicate supplier invoice number. ","")&amp;IF($E28="","Missing PO number. ","")&amp;IF($H28="","Missing invoice date. ","")&amp;IF(N($N28)&lt;=0,"Invoice amount must be greater than zero. ","")&amp;IF(AND($H28&lt;&gt;"",$H28&gt;Settings!$C$5),"Invoice date is in the future. ","")&amp;IF(AND($K28="Received in Full",$J28=""),"Missing actual delivery date. ","")&amp;IF(ROUND(N($O28)-N($N28),2)&gt;0,"Payments exceed the invoice amount. ","")&amp;IF(AND($K28="Rejected",N($O28)&gt;0),"Payment made on a rejected delivery. ","")&amp;IF(AND($B28&lt;&gt;"",IFERROR(INDEX('Vendor Master'!$H$8:$H$47,MATCH($B28,'Vendor Master'!$A$8:$A$47,0)),"")="Inactive",ROUND(N($P28),2)&gt;0),"Open balance with an inactive vendor. ","")))</f>
        <v/>
      </c>
      <c r="Y28" s="36" t="str">
        <f aca="false">IF($A28="","",IF(ROUND($P28,2)&gt;0.004,"Yes","No"))</f>
        <v>No</v>
      </c>
      <c r="Z28" s="29" t="str">
        <f aca="false">IF(OR($Y28&lt;&gt;"Yes",$M28=""),"",COUNTIFS('Invoice &amp; Delivery Log'!$Y$8:$Y$157,"Yes",'Invoice &amp; Delivery Log'!$M$8:$M$157,"&lt;"&amp;$M28)+COUNTIFS('Invoice &amp; Delivery Log'!$Y$8:$Y$157,"Yes",'Invoice &amp; Delivery Log'!$M$8:$M$157,$M28,'Invoice &amp; Delivery Log'!$A$8:$A$157,"&lt;"&amp;$A28)+1)</f>
        <v/>
      </c>
    </row>
    <row r="29" customFormat="false" ht="15" hidden="false" customHeight="true" outlineLevel="0" collapsed="false">
      <c r="A29" s="44" t="s">
        <v>314</v>
      </c>
      <c r="B29" s="44" t="s">
        <v>196</v>
      </c>
      <c r="C29" s="59" t="str">
        <f aca="false">IF($B29="","",IFERROR(INDEX('Vendor Master'!$B$8:$B$47,MATCH($B29,'Vendor Master'!$A$8:$A$47,0)),"NOT FOUND"))</f>
        <v>Copperfield Textiles</v>
      </c>
      <c r="D29" s="44" t="s">
        <v>315</v>
      </c>
      <c r="E29" s="45" t="s">
        <v>316</v>
      </c>
      <c r="F29" s="59" t="str">
        <f aca="false">IF($B29="","",IFERROR(INDEX('Vendor Master'!$C$8:$C$47,MATCH($B29,'Vendor Master'!$A$8:$A$47,0)),""))</f>
        <v>Textiles</v>
      </c>
      <c r="G29" s="45" t="s">
        <v>317</v>
      </c>
      <c r="H29" s="56" t="n">
        <v>46131</v>
      </c>
      <c r="I29" s="56" t="n">
        <v>46129</v>
      </c>
      <c r="J29" s="56" t="n">
        <v>46129</v>
      </c>
      <c r="K29" s="44" t="s">
        <v>237</v>
      </c>
      <c r="L29" s="60" t="n">
        <f aca="false">IF($B29="","",IFERROR(INDEX('Vendor Master'!$G$8:$G$47,MATCH($B29,'Vendor Master'!$A$8:$A$47,0)),""))</f>
        <v>60</v>
      </c>
      <c r="M29" s="61" t="n">
        <f aca="false">IF(OR($H29="",$L29=""),"",$H29+$L29)</f>
        <v>46191</v>
      </c>
      <c r="N29" s="58" t="n">
        <v>8539.35</v>
      </c>
      <c r="O29" s="50" t="n">
        <f aca="false">IF($A29="","",SUMIFS('Payments Log'!$F$8:$F$207,'Payments Log'!$B$8:$B$207,$A29))</f>
        <v>8539.35</v>
      </c>
      <c r="P29" s="50" t="n">
        <f aca="false">IF($A29="","",ROUND($N29-$O29,2))</f>
        <v>0</v>
      </c>
      <c r="Q29" s="53" t="str">
        <f aca="false">IF($A29="","",IF(N($N29)&lt;=0,"Check Amount",IF(ROUND($O29,2)&lt;=0,"Unpaid",IF(ROUND($O29-$N29,2)&gt;0,"Overpaid",IF(ROUND($P29,2)&lt;=0,"Paid","Partially Paid")))))</f>
        <v>Paid</v>
      </c>
      <c r="R29" s="52" t="n">
        <f aca="false">IF(OR($A29="",$M29=""),"",IF(ROUND($P29,2)&lt;=0,0,MAX(0,Settings!$C$5-$M29-Settings!$C$7)))</f>
        <v>0</v>
      </c>
      <c r="S29" s="50" t="n">
        <f aca="false">IF($A29="","",IF(N($R29)&gt;0,MAX($P29,0),0))</f>
        <v>0</v>
      </c>
      <c r="T29" s="53" t="str">
        <f aca="false">IF($A29="","",IF(ROUND($P29,2)&lt;0,"Supplier Credit",IF(ROUND($P29,2)=0,"Closed",IF($M29="","No Due Date",IF(N($R29)&lt;=0,"Not Due Yet",IF(N($R29)&lt;=Settings!$C$8,"1-30 Days Overdue",IF(N($R29)&lt;=Settings!$C$9,"31-60 Days Overdue",IF(N($R29)&lt;=Settings!$C$10,"61-90 Days Overdue","90+ Days Overdue"))))))))</f>
        <v>Closed</v>
      </c>
      <c r="U29" s="61" t="n">
        <f aca="false">IF($A29="","",IF(COUNTIFS('Payments Log'!$B$8:$B$207,$A29)=0,"",SUMPRODUCT(MAX(('Payments Log'!$B$8:$B$207=$A29)*'Payments Log'!$E$8:$E$207))))</f>
        <v>46161</v>
      </c>
      <c r="V29" s="53" t="str">
        <f aca="false">IF($A29="","",IF($J29="","Not Delivered",IF($I29="","No Target Date",IF($J29&lt;=$I29,"On Time","Late"))))</f>
        <v>On Time</v>
      </c>
      <c r="W29" s="53" t="str">
        <f aca="false">IF($A29="","",IF($X29="","OK","REVIEW"))</f>
        <v>OK</v>
      </c>
      <c r="X29" s="62" t="str">
        <f aca="false">IF($A29="","",TRIM(IF($B29="","Missing vendor ID. ","")&amp;IF($C29="NOT FOUND","Vendor ID not in Vendor Master. ","")&amp;IF(COUNTIFS('Invoice &amp; Delivery Log'!$A$8:$A$157,$A29)&gt;1,"Duplicate invoice ID. ","")&amp;IF(AND($D29&lt;&gt;"",COUNTIFS('Invoice &amp; Delivery Log'!$D$8:$D$157,$D29,'Invoice &amp; Delivery Log'!$B$8:$B$157,$B29)&gt;1),"Duplicate supplier invoice number. ","")&amp;IF($E29="","Missing PO number. ","")&amp;IF($H29="","Missing invoice date. ","")&amp;IF(N($N29)&lt;=0,"Invoice amount must be greater than zero. ","")&amp;IF(AND($H29&lt;&gt;"",$H29&gt;Settings!$C$5),"Invoice date is in the future. ","")&amp;IF(AND($K29="Received in Full",$J29=""),"Missing actual delivery date. ","")&amp;IF(ROUND(N($O29)-N($N29),2)&gt;0,"Payments exceed the invoice amount. ","")&amp;IF(AND($K29="Rejected",N($O29)&gt;0),"Payment made on a rejected delivery. ","")&amp;IF(AND($B29&lt;&gt;"",IFERROR(INDEX('Vendor Master'!$H$8:$H$47,MATCH($B29,'Vendor Master'!$A$8:$A$47,0)),"")="Inactive",ROUND(N($P29),2)&gt;0),"Open balance with an inactive vendor. ","")))</f>
        <v/>
      </c>
      <c r="Y29" s="53" t="str">
        <f aca="false">IF($A29="","",IF(ROUND($P29,2)&gt;0.004,"Yes","No"))</f>
        <v>No</v>
      </c>
      <c r="Z29" s="49" t="str">
        <f aca="false">IF(OR($Y29&lt;&gt;"Yes",$M29=""),"",COUNTIFS('Invoice &amp; Delivery Log'!$Y$8:$Y$157,"Yes",'Invoice &amp; Delivery Log'!$M$8:$M$157,"&lt;"&amp;$M29)+COUNTIFS('Invoice &amp; Delivery Log'!$Y$8:$Y$157,"Yes",'Invoice &amp; Delivery Log'!$M$8:$M$157,$M29,'Invoice &amp; Delivery Log'!$A$8:$A$157,"&lt;"&amp;$A29)+1)</f>
        <v/>
      </c>
    </row>
    <row r="30" customFormat="false" ht="15" hidden="false" customHeight="true" outlineLevel="0" collapsed="false">
      <c r="A30" s="44" t="s">
        <v>318</v>
      </c>
      <c r="B30" s="44" t="s">
        <v>160</v>
      </c>
      <c r="C30" s="55" t="str">
        <f aca="false">IF($B30="","",IFERROR(INDEX('Vendor Master'!$B$8:$B$47,MATCH($B30,'Vendor Master'!$A$8:$A$47,0)),"NOT FOUND"))</f>
        <v>Lakeshore Packaging Group</v>
      </c>
      <c r="D30" s="44" t="s">
        <v>307</v>
      </c>
      <c r="E30" s="45" t="s">
        <v>319</v>
      </c>
      <c r="F30" s="55" t="str">
        <f aca="false">IF($B30="","",IFERROR(INDEX('Vendor Master'!$C$8:$C$47,MATCH($B30,'Vendor Master'!$A$8:$A$47,0)),""))</f>
        <v>Packaging</v>
      </c>
      <c r="G30" s="45" t="s">
        <v>309</v>
      </c>
      <c r="H30" s="56" t="n">
        <v>46139</v>
      </c>
      <c r="I30" s="56" t="n">
        <v>46138</v>
      </c>
      <c r="J30" s="56" t="n">
        <v>46137</v>
      </c>
      <c r="K30" s="44" t="s">
        <v>237</v>
      </c>
      <c r="L30" s="57" t="n">
        <f aca="false">IF($B30="","",IFERROR(INDEX('Vendor Master'!$G$8:$G$47,MATCH($B30,'Vendor Master'!$A$8:$A$47,0)),""))</f>
        <v>30</v>
      </c>
      <c r="M30" s="37" t="n">
        <f aca="false">IF(OR($H30="",$L30=""),"",$H30+$L30)</f>
        <v>46169</v>
      </c>
      <c r="N30" s="58" t="n">
        <v>3190.52</v>
      </c>
      <c r="O30" s="30" t="n">
        <f aca="false">IF($A30="","",SUMIFS('Payments Log'!$F$8:$F$207,'Payments Log'!$B$8:$B$207,$A30))</f>
        <v>3190.52</v>
      </c>
      <c r="P30" s="30" t="n">
        <f aca="false">IF($A30="","",ROUND($N30-$O30,2))</f>
        <v>0</v>
      </c>
      <c r="Q30" s="36" t="str">
        <f aca="false">IF($A30="","",IF(N($N30)&lt;=0,"Check Amount",IF(ROUND($O30,2)&lt;=0,"Unpaid",IF(ROUND($O30-$N30,2)&gt;0,"Overpaid",IF(ROUND($P30,2)&lt;=0,"Paid","Partially Paid")))))</f>
        <v>Paid</v>
      </c>
      <c r="R30" s="47" t="n">
        <f aca="false">IF(OR($A30="",$M30=""),"",IF(ROUND($P30,2)&lt;=0,0,MAX(0,Settings!$C$5-$M30-Settings!$C$7)))</f>
        <v>0</v>
      </c>
      <c r="S30" s="30" t="n">
        <f aca="false">IF($A30="","",IF(N($R30)&gt;0,MAX($P30,0),0))</f>
        <v>0</v>
      </c>
      <c r="T30" s="36" t="str">
        <f aca="false">IF($A30="","",IF(ROUND($P30,2)&lt;0,"Supplier Credit",IF(ROUND($P30,2)=0,"Closed",IF($M30="","No Due Date",IF(N($R30)&lt;=0,"Not Due Yet",IF(N($R30)&lt;=Settings!$C$8,"1-30 Days Overdue",IF(N($R30)&lt;=Settings!$C$9,"31-60 Days Overdue",IF(N($R30)&lt;=Settings!$C$10,"61-90 Days Overdue","90+ Days Overdue"))))))))</f>
        <v>Closed</v>
      </c>
      <c r="U30" s="37" t="n">
        <f aca="false">IF($A30="","",IF(COUNTIFS('Payments Log'!$B$8:$B$207,$A30)=0,"",SUMPRODUCT(MAX(('Payments Log'!$B$8:$B$207=$A30)*'Payments Log'!$E$8:$E$207))))</f>
        <v>46157</v>
      </c>
      <c r="V30" s="36" t="str">
        <f aca="false">IF($A30="","",IF($J30="","Not Delivered",IF($I30="","No Target Date",IF($J30&lt;=$I30,"On Time","Late"))))</f>
        <v>On Time</v>
      </c>
      <c r="W30" s="36" t="str">
        <f aca="false">IF($A30="","",IF($X30="","OK","REVIEW"))</f>
        <v>REVIEW</v>
      </c>
      <c r="X30" s="28" t="str">
        <f aca="false">IF($A30="","",TRIM(IF($B30="","Missing vendor ID. ","")&amp;IF($C30="NOT FOUND","Vendor ID not in Vendor Master. ","")&amp;IF(COUNTIFS('Invoice &amp; Delivery Log'!$A$8:$A$157,$A30)&gt;1,"Duplicate invoice ID. ","")&amp;IF(AND($D30&lt;&gt;"",COUNTIFS('Invoice &amp; Delivery Log'!$D$8:$D$157,$D30,'Invoice &amp; Delivery Log'!$B$8:$B$157,$B30)&gt;1),"Duplicate supplier invoice number. ","")&amp;IF($E30="","Missing PO number. ","")&amp;IF($H30="","Missing invoice date. ","")&amp;IF(N($N30)&lt;=0,"Invoice amount must be greater than zero. ","")&amp;IF(AND($H30&lt;&gt;"",$H30&gt;Settings!$C$5),"Invoice date is in the future. ","")&amp;IF(AND($K30="Received in Full",$J30=""),"Missing actual delivery date. ","")&amp;IF(ROUND(N($O30)-N($N30),2)&gt;0,"Payments exceed the invoice amount. ","")&amp;IF(AND($K30="Rejected",N($O30)&gt;0),"Payment made on a rejected delivery. ","")&amp;IF(AND($B30&lt;&gt;"",IFERROR(INDEX('Vendor Master'!$H$8:$H$47,MATCH($B30,'Vendor Master'!$A$8:$A$47,0)),"")="Inactive",ROUND(N($P30),2)&gt;0),"Open balance with an inactive vendor. ","")))</f>
        <v>Duplicate supplier invoice number.</v>
      </c>
      <c r="Y30" s="36" t="str">
        <f aca="false">IF($A30="","",IF(ROUND($P30,2)&gt;0.004,"Yes","No"))</f>
        <v>No</v>
      </c>
      <c r="Z30" s="29" t="str">
        <f aca="false">IF(OR($Y30&lt;&gt;"Yes",$M30=""),"",COUNTIFS('Invoice &amp; Delivery Log'!$Y$8:$Y$157,"Yes",'Invoice &amp; Delivery Log'!$M$8:$M$157,"&lt;"&amp;$M30)+COUNTIFS('Invoice &amp; Delivery Log'!$Y$8:$Y$157,"Yes",'Invoice &amp; Delivery Log'!$M$8:$M$157,$M30,'Invoice &amp; Delivery Log'!$A$8:$A$157,"&lt;"&amp;$A30)+1)</f>
        <v/>
      </c>
    </row>
    <row r="31" customFormat="false" ht="15" hidden="false" customHeight="true" outlineLevel="0" collapsed="false">
      <c r="A31" s="44" t="s">
        <v>320</v>
      </c>
      <c r="B31" s="44" t="s">
        <v>154</v>
      </c>
      <c r="C31" s="59" t="str">
        <f aca="false">IF($B31="","",IFERROR(INDEX('Vendor Master'!$B$8:$B$47,MATCH($B31,'Vendor Master'!$A$8:$A$47,0)),"NOT FOUND"))</f>
        <v>Ironbridge Hardware Co.</v>
      </c>
      <c r="D31" s="44" t="s">
        <v>321</v>
      </c>
      <c r="E31" s="45" t="s">
        <v>322</v>
      </c>
      <c r="F31" s="59" t="str">
        <f aca="false">IF($B31="","",IFERROR(INDEX('Vendor Master'!$C$8:$C$47,MATCH($B31,'Vendor Master'!$A$8:$A$47,0)),""))</f>
        <v>Maintenance &amp; Repair</v>
      </c>
      <c r="G31" s="45" t="s">
        <v>323</v>
      </c>
      <c r="H31" s="56" t="n">
        <v>46141</v>
      </c>
      <c r="I31" s="56" t="n">
        <v>46139</v>
      </c>
      <c r="J31" s="56" t="n">
        <v>46139</v>
      </c>
      <c r="K31" s="44" t="s">
        <v>237</v>
      </c>
      <c r="L31" s="60" t="n">
        <f aca="false">IF($B31="","",IFERROR(INDEX('Vendor Master'!$G$8:$G$47,MATCH($B31,'Vendor Master'!$A$8:$A$47,0)),""))</f>
        <v>45</v>
      </c>
      <c r="M31" s="61" t="n">
        <f aca="false">IF(OR($H31="",$L31=""),"",$H31+$L31)</f>
        <v>46186</v>
      </c>
      <c r="N31" s="58" t="n">
        <v>4198.12</v>
      </c>
      <c r="O31" s="50" t="n">
        <f aca="false">IF($A31="","",SUMIFS('Payments Log'!$F$8:$F$207,'Payments Log'!$B$8:$B$207,$A31))</f>
        <v>0</v>
      </c>
      <c r="P31" s="50" t="n">
        <f aca="false">IF($A31="","",ROUND($N31-$O31,2))</f>
        <v>4198.12</v>
      </c>
      <c r="Q31" s="53" t="str">
        <f aca="false">IF($A31="","",IF(N($N31)&lt;=0,"Check Amount",IF(ROUND($O31,2)&lt;=0,"Unpaid",IF(ROUND($O31-$N31,2)&gt;0,"Overpaid",IF(ROUND($P31,2)&lt;=0,"Paid","Partially Paid")))))</f>
        <v>Unpaid</v>
      </c>
      <c r="R31" s="52" t="n">
        <f aca="false">IF(OR($A31="",$M31=""),"",IF(ROUND($P31,2)&lt;=0,0,MAX(0,Settings!$C$5-$M31-Settings!$C$7)))</f>
        <v>86</v>
      </c>
      <c r="S31" s="50" t="n">
        <f aca="false">IF($A31="","",IF(N($R31)&gt;0,MAX($P31,0),0))</f>
        <v>4198.12</v>
      </c>
      <c r="T31" s="53" t="str">
        <f aca="false">IF($A31="","",IF(ROUND($P31,2)&lt;0,"Supplier Credit",IF(ROUND($P31,2)=0,"Closed",IF($M31="","No Due Date",IF(N($R31)&lt;=0,"Not Due Yet",IF(N($R31)&lt;=Settings!$C$8,"1-30 Days Overdue",IF(N($R31)&lt;=Settings!$C$9,"31-60 Days Overdue",IF(N($R31)&lt;=Settings!$C$10,"61-90 Days Overdue","90+ Days Overdue"))))))))</f>
        <v>61-90 Days Overdue</v>
      </c>
      <c r="U31" s="61" t="str">
        <f aca="false">IF($A31="","",IF(COUNTIFS('Payments Log'!$B$8:$B$207,$A31)=0,"",SUMPRODUCT(MAX(('Payments Log'!$B$8:$B$207=$A31)*'Payments Log'!$E$8:$E$207))))</f>
        <v/>
      </c>
      <c r="V31" s="53" t="str">
        <f aca="false">IF($A31="","",IF($J31="","Not Delivered",IF($I31="","No Target Date",IF($J31&lt;=$I31,"On Time","Late"))))</f>
        <v>On Time</v>
      </c>
      <c r="W31" s="53" t="str">
        <f aca="false">IF($A31="","",IF($X31="","OK","REVIEW"))</f>
        <v>OK</v>
      </c>
      <c r="X31" s="62" t="str">
        <f aca="false">IF($A31="","",TRIM(IF($B31="","Missing vendor ID. ","")&amp;IF($C31="NOT FOUND","Vendor ID not in Vendor Master. ","")&amp;IF(COUNTIFS('Invoice &amp; Delivery Log'!$A$8:$A$157,$A31)&gt;1,"Duplicate invoice ID. ","")&amp;IF(AND($D31&lt;&gt;"",COUNTIFS('Invoice &amp; Delivery Log'!$D$8:$D$157,$D31,'Invoice &amp; Delivery Log'!$B$8:$B$157,$B31)&gt;1),"Duplicate supplier invoice number. ","")&amp;IF($E31="","Missing PO number. ","")&amp;IF($H31="","Missing invoice date. ","")&amp;IF(N($N31)&lt;=0,"Invoice amount must be greater than zero. ","")&amp;IF(AND($H31&lt;&gt;"",$H31&gt;Settings!$C$5),"Invoice date is in the future. ","")&amp;IF(AND($K31="Received in Full",$J31=""),"Missing actual delivery date. ","")&amp;IF(ROUND(N($O31)-N($N31),2)&gt;0,"Payments exceed the invoice amount. ","")&amp;IF(AND($K31="Rejected",N($O31)&gt;0),"Payment made on a rejected delivery. ","")&amp;IF(AND($B31&lt;&gt;"",IFERROR(INDEX('Vendor Master'!$H$8:$H$47,MATCH($B31,'Vendor Master'!$A$8:$A$47,0)),"")="Inactive",ROUND(N($P31),2)&gt;0),"Open balance with an inactive vendor. ","")))</f>
        <v/>
      </c>
      <c r="Y31" s="53" t="str">
        <f aca="false">IF($A31="","",IF(ROUND($P31,2)&gt;0.004,"Yes","No"))</f>
        <v>Yes</v>
      </c>
      <c r="Z31" s="49" t="n">
        <f aca="false">IF(OR($Y31&lt;&gt;"Yes",$M31=""),"",COUNTIFS('Invoice &amp; Delivery Log'!$Y$8:$Y$157,"Yes",'Invoice &amp; Delivery Log'!$M$8:$M$157,"&lt;"&amp;$M31)+COUNTIFS('Invoice &amp; Delivery Log'!$Y$8:$Y$157,"Yes",'Invoice &amp; Delivery Log'!$M$8:$M$157,$M31,'Invoice &amp; Delivery Log'!$A$8:$A$157,"&lt;"&amp;$A31)+1)</f>
        <v>5</v>
      </c>
    </row>
    <row r="32" customFormat="false" ht="15" hidden="false" customHeight="true" outlineLevel="0" collapsed="false">
      <c r="A32" s="44" t="s">
        <v>324</v>
      </c>
      <c r="B32" s="44" t="s">
        <v>208</v>
      </c>
      <c r="C32" s="55" t="str">
        <f aca="false">IF($B32="","",IFERROR(INDEX('Vendor Master'!$B$8:$B$47,MATCH($B32,'Vendor Master'!$A$8:$A$47,0)),"NOT FOUND"))</f>
        <v>Willowbrook Beverage Co.</v>
      </c>
      <c r="D32" s="44" t="s">
        <v>325</v>
      </c>
      <c r="E32" s="45" t="s">
        <v>326</v>
      </c>
      <c r="F32" s="55" t="str">
        <f aca="false">IF($B32="","",IFERROR(INDEX('Vendor Master'!$C$8:$C$47,MATCH($B32,'Vendor Master'!$A$8:$A$47,0)),""))</f>
        <v>Food &amp; Beverage</v>
      </c>
      <c r="G32" s="45" t="s">
        <v>261</v>
      </c>
      <c r="H32" s="56" t="n">
        <v>46143</v>
      </c>
      <c r="I32" s="56" t="n">
        <v>46141</v>
      </c>
      <c r="J32" s="56" t="n">
        <v>46141</v>
      </c>
      <c r="K32" s="44" t="s">
        <v>237</v>
      </c>
      <c r="L32" s="57" t="n">
        <f aca="false">IF($B32="","",IFERROR(INDEX('Vendor Master'!$G$8:$G$47,MATCH($B32,'Vendor Master'!$A$8:$A$47,0)),""))</f>
        <v>15</v>
      </c>
      <c r="M32" s="37" t="n">
        <f aca="false">IF(OR($H32="",$L32=""),"",$H32+$L32)</f>
        <v>46158</v>
      </c>
      <c r="N32" s="58" t="n">
        <v>979.51</v>
      </c>
      <c r="O32" s="30" t="n">
        <f aca="false">IF($A32="","",SUMIFS('Payments Log'!$F$8:$F$207,'Payments Log'!$B$8:$B$207,$A32))</f>
        <v>979.51</v>
      </c>
      <c r="P32" s="30" t="n">
        <f aca="false">IF($A32="","",ROUND($N32-$O32,2))</f>
        <v>0</v>
      </c>
      <c r="Q32" s="36" t="str">
        <f aca="false">IF($A32="","",IF(N($N32)&lt;=0,"Check Amount",IF(ROUND($O32,2)&lt;=0,"Unpaid",IF(ROUND($O32-$N32,2)&gt;0,"Overpaid",IF(ROUND($P32,2)&lt;=0,"Paid","Partially Paid")))))</f>
        <v>Paid</v>
      </c>
      <c r="R32" s="47" t="n">
        <f aca="false">IF(OR($A32="",$M32=""),"",IF(ROUND($P32,2)&lt;=0,0,MAX(0,Settings!$C$5-$M32-Settings!$C$7)))</f>
        <v>0</v>
      </c>
      <c r="S32" s="30" t="n">
        <f aca="false">IF($A32="","",IF(N($R32)&gt;0,MAX($P32,0),0))</f>
        <v>0</v>
      </c>
      <c r="T32" s="36" t="str">
        <f aca="false">IF($A32="","",IF(ROUND($P32,2)&lt;0,"Supplier Credit",IF(ROUND($P32,2)=0,"Closed",IF($M32="","No Due Date",IF(N($R32)&lt;=0,"Not Due Yet",IF(N($R32)&lt;=Settings!$C$8,"1-30 Days Overdue",IF(N($R32)&lt;=Settings!$C$9,"31-60 Days Overdue",IF(N($R32)&lt;=Settings!$C$10,"61-90 Days Overdue","90+ Days Overdue"))))))))</f>
        <v>Closed</v>
      </c>
      <c r="U32" s="37" t="n">
        <f aca="false">IF($A32="","",IF(COUNTIFS('Payments Log'!$B$8:$B$207,$A32)=0,"",SUMPRODUCT(MAX(('Payments Log'!$B$8:$B$207=$A32)*'Payments Log'!$E$8:$E$207))))</f>
        <v>46156</v>
      </c>
      <c r="V32" s="36" t="str">
        <f aca="false">IF($A32="","",IF($J32="","Not Delivered",IF($I32="","No Target Date",IF($J32&lt;=$I32,"On Time","Late"))))</f>
        <v>On Time</v>
      </c>
      <c r="W32" s="36" t="str">
        <f aca="false">IF($A32="","",IF($X32="","OK","REVIEW"))</f>
        <v>OK</v>
      </c>
      <c r="X32" s="28" t="str">
        <f aca="false">IF($A32="","",TRIM(IF($B32="","Missing vendor ID. ","")&amp;IF($C32="NOT FOUND","Vendor ID not in Vendor Master. ","")&amp;IF(COUNTIFS('Invoice &amp; Delivery Log'!$A$8:$A$157,$A32)&gt;1,"Duplicate invoice ID. ","")&amp;IF(AND($D32&lt;&gt;"",COUNTIFS('Invoice &amp; Delivery Log'!$D$8:$D$157,$D32,'Invoice &amp; Delivery Log'!$B$8:$B$157,$B32)&gt;1),"Duplicate supplier invoice number. ","")&amp;IF($E32="","Missing PO number. ","")&amp;IF($H32="","Missing invoice date. ","")&amp;IF(N($N32)&lt;=0,"Invoice amount must be greater than zero. ","")&amp;IF(AND($H32&lt;&gt;"",$H32&gt;Settings!$C$5),"Invoice date is in the future. ","")&amp;IF(AND($K32="Received in Full",$J32=""),"Missing actual delivery date. ","")&amp;IF(ROUND(N($O32)-N($N32),2)&gt;0,"Payments exceed the invoice amount. ","")&amp;IF(AND($K32="Rejected",N($O32)&gt;0),"Payment made on a rejected delivery. ","")&amp;IF(AND($B32&lt;&gt;"",IFERROR(INDEX('Vendor Master'!$H$8:$H$47,MATCH($B32,'Vendor Master'!$A$8:$A$47,0)),"")="Inactive",ROUND(N($P32),2)&gt;0),"Open balance with an inactive vendor. ","")))</f>
        <v/>
      </c>
      <c r="Y32" s="36" t="str">
        <f aca="false">IF($A32="","",IF(ROUND($P32,2)&gt;0.004,"Yes","No"))</f>
        <v>No</v>
      </c>
      <c r="Z32" s="29" t="str">
        <f aca="false">IF(OR($Y32&lt;&gt;"Yes",$M32=""),"",COUNTIFS('Invoice &amp; Delivery Log'!$Y$8:$Y$157,"Yes",'Invoice &amp; Delivery Log'!$M$8:$M$157,"&lt;"&amp;$M32)+COUNTIFS('Invoice &amp; Delivery Log'!$Y$8:$Y$157,"Yes",'Invoice &amp; Delivery Log'!$M$8:$M$157,$M32,'Invoice &amp; Delivery Log'!$A$8:$A$157,"&lt;"&amp;$A32)+1)</f>
        <v/>
      </c>
    </row>
    <row r="33" customFormat="false" ht="15" hidden="false" customHeight="true" outlineLevel="0" collapsed="false">
      <c r="A33" s="44" t="s">
        <v>327</v>
      </c>
      <c r="B33" s="44" t="s">
        <v>208</v>
      </c>
      <c r="C33" s="59" t="str">
        <f aca="false">IF($B33="","",IFERROR(INDEX('Vendor Master'!$B$8:$B$47,MATCH($B33,'Vendor Master'!$A$8:$A$47,0)),"NOT FOUND"))</f>
        <v>Willowbrook Beverage Co.</v>
      </c>
      <c r="D33" s="44" t="s">
        <v>328</v>
      </c>
      <c r="E33" s="45" t="s">
        <v>329</v>
      </c>
      <c r="F33" s="59" t="str">
        <f aca="false">IF($B33="","",IFERROR(INDEX('Vendor Master'!$C$8:$C$47,MATCH($B33,'Vendor Master'!$A$8:$A$47,0)),""))</f>
        <v>Food &amp; Beverage</v>
      </c>
      <c r="G33" s="45" t="s">
        <v>330</v>
      </c>
      <c r="H33" s="56" t="n">
        <v>46146</v>
      </c>
      <c r="I33" s="56" t="n">
        <v>46142</v>
      </c>
      <c r="J33" s="56"/>
      <c r="K33" s="44" t="s">
        <v>237</v>
      </c>
      <c r="L33" s="60" t="n">
        <f aca="false">IF($B33="","",IFERROR(INDEX('Vendor Master'!$G$8:$G$47,MATCH($B33,'Vendor Master'!$A$8:$A$47,0)),""))</f>
        <v>15</v>
      </c>
      <c r="M33" s="61" t="n">
        <f aca="false">IF(OR($H33="",$L33=""),"",$H33+$L33)</f>
        <v>46161</v>
      </c>
      <c r="N33" s="58" t="n">
        <v>1262.57</v>
      </c>
      <c r="O33" s="50" t="n">
        <f aca="false">IF($A33="","",SUMIFS('Payments Log'!$F$8:$F$207,'Payments Log'!$B$8:$B$207,$A33))</f>
        <v>1262.57</v>
      </c>
      <c r="P33" s="50" t="n">
        <f aca="false">IF($A33="","",ROUND($N33-$O33,2))</f>
        <v>0</v>
      </c>
      <c r="Q33" s="53" t="str">
        <f aca="false">IF($A33="","",IF(N($N33)&lt;=0,"Check Amount",IF(ROUND($O33,2)&lt;=0,"Unpaid",IF(ROUND($O33-$N33,2)&gt;0,"Overpaid",IF(ROUND($P33,2)&lt;=0,"Paid","Partially Paid")))))</f>
        <v>Paid</v>
      </c>
      <c r="R33" s="52" t="n">
        <f aca="false">IF(OR($A33="",$M33=""),"",IF(ROUND($P33,2)&lt;=0,0,MAX(0,Settings!$C$5-$M33-Settings!$C$7)))</f>
        <v>0</v>
      </c>
      <c r="S33" s="50" t="n">
        <f aca="false">IF($A33="","",IF(N($R33)&gt;0,MAX($P33,0),0))</f>
        <v>0</v>
      </c>
      <c r="T33" s="53" t="str">
        <f aca="false">IF($A33="","",IF(ROUND($P33,2)&lt;0,"Supplier Credit",IF(ROUND($P33,2)=0,"Closed",IF($M33="","No Due Date",IF(N($R33)&lt;=0,"Not Due Yet",IF(N($R33)&lt;=Settings!$C$8,"1-30 Days Overdue",IF(N($R33)&lt;=Settings!$C$9,"31-60 Days Overdue",IF(N($R33)&lt;=Settings!$C$10,"61-90 Days Overdue","90+ Days Overdue"))))))))</f>
        <v>Closed</v>
      </c>
      <c r="U33" s="61" t="n">
        <f aca="false">IF($A33="","",IF(COUNTIFS('Payments Log'!$B$8:$B$207,$A33)=0,"",SUMPRODUCT(MAX(('Payments Log'!$B$8:$B$207=$A33)*'Payments Log'!$E$8:$E$207))))</f>
        <v>46151</v>
      </c>
      <c r="V33" s="53" t="str">
        <f aca="false">IF($A33="","",IF($J33="","Not Delivered",IF($I33="","No Target Date",IF($J33&lt;=$I33,"On Time","Late"))))</f>
        <v>Not Delivered</v>
      </c>
      <c r="W33" s="53" t="str">
        <f aca="false">IF($A33="","",IF($X33="","OK","REVIEW"))</f>
        <v>REVIEW</v>
      </c>
      <c r="X33" s="62" t="str">
        <f aca="false">IF($A33="","",TRIM(IF($B33="","Missing vendor ID. ","")&amp;IF($C33="NOT FOUND","Vendor ID not in Vendor Master. ","")&amp;IF(COUNTIFS('Invoice &amp; Delivery Log'!$A$8:$A$157,$A33)&gt;1,"Duplicate invoice ID. ","")&amp;IF(AND($D33&lt;&gt;"",COUNTIFS('Invoice &amp; Delivery Log'!$D$8:$D$157,$D33,'Invoice &amp; Delivery Log'!$B$8:$B$157,$B33)&gt;1),"Duplicate supplier invoice number. ","")&amp;IF($E33="","Missing PO number. ","")&amp;IF($H33="","Missing invoice date. ","")&amp;IF(N($N33)&lt;=0,"Invoice amount must be greater than zero. ","")&amp;IF(AND($H33&lt;&gt;"",$H33&gt;Settings!$C$5),"Invoice date is in the future. ","")&amp;IF(AND($K33="Received in Full",$J33=""),"Missing actual delivery date. ","")&amp;IF(ROUND(N($O33)-N($N33),2)&gt;0,"Payments exceed the invoice amount. ","")&amp;IF(AND($K33="Rejected",N($O33)&gt;0),"Payment made on a rejected delivery. ","")&amp;IF(AND($B33&lt;&gt;"",IFERROR(INDEX('Vendor Master'!$H$8:$H$47,MATCH($B33,'Vendor Master'!$A$8:$A$47,0)),"")="Inactive",ROUND(N($P33),2)&gt;0),"Open balance with an inactive vendor. ","")))</f>
        <v>Missing actual delivery date.</v>
      </c>
      <c r="Y33" s="53" t="str">
        <f aca="false">IF($A33="","",IF(ROUND($P33,2)&gt;0.004,"Yes","No"))</f>
        <v>No</v>
      </c>
      <c r="Z33" s="49" t="str">
        <f aca="false">IF(OR($Y33&lt;&gt;"Yes",$M33=""),"",COUNTIFS('Invoice &amp; Delivery Log'!$Y$8:$Y$157,"Yes",'Invoice &amp; Delivery Log'!$M$8:$M$157,"&lt;"&amp;$M33)+COUNTIFS('Invoice &amp; Delivery Log'!$Y$8:$Y$157,"Yes",'Invoice &amp; Delivery Log'!$M$8:$M$157,$M33,'Invoice &amp; Delivery Log'!$A$8:$A$157,"&lt;"&amp;$A33)+1)</f>
        <v/>
      </c>
    </row>
    <row r="34" customFormat="false" ht="15" hidden="false" customHeight="true" outlineLevel="0" collapsed="false">
      <c r="A34" s="44" t="s">
        <v>331</v>
      </c>
      <c r="B34" s="44" t="s">
        <v>196</v>
      </c>
      <c r="C34" s="55" t="str">
        <f aca="false">IF($B34="","",IFERROR(INDEX('Vendor Master'!$B$8:$B$47,MATCH($B34,'Vendor Master'!$A$8:$A$47,0)),"NOT FOUND"))</f>
        <v>Copperfield Textiles</v>
      </c>
      <c r="D34" s="44" t="s">
        <v>332</v>
      </c>
      <c r="E34" s="45" t="s">
        <v>333</v>
      </c>
      <c r="F34" s="55" t="str">
        <f aca="false">IF($B34="","",IFERROR(INDEX('Vendor Master'!$C$8:$C$47,MATCH($B34,'Vendor Master'!$A$8:$A$47,0)),""))</f>
        <v>Textiles</v>
      </c>
      <c r="G34" s="45" t="s">
        <v>273</v>
      </c>
      <c r="H34" s="56" t="n">
        <v>46146</v>
      </c>
      <c r="I34" s="56" t="n">
        <v>46146</v>
      </c>
      <c r="J34" s="56" t="n">
        <v>46145</v>
      </c>
      <c r="K34" s="44" t="s">
        <v>237</v>
      </c>
      <c r="L34" s="57" t="n">
        <f aca="false">IF($B34="","",IFERROR(INDEX('Vendor Master'!$G$8:$G$47,MATCH($B34,'Vendor Master'!$A$8:$A$47,0)),""))</f>
        <v>60</v>
      </c>
      <c r="M34" s="37" t="n">
        <f aca="false">IF(OR($H34="",$L34=""),"",$H34+$L34)</f>
        <v>46206</v>
      </c>
      <c r="N34" s="58" t="n">
        <v>4959.04</v>
      </c>
      <c r="O34" s="30" t="n">
        <f aca="false">IF($A34="","",SUMIFS('Payments Log'!$F$8:$F$207,'Payments Log'!$B$8:$B$207,$A34))</f>
        <v>4959.04</v>
      </c>
      <c r="P34" s="30" t="n">
        <f aca="false">IF($A34="","",ROUND($N34-$O34,2))</f>
        <v>0</v>
      </c>
      <c r="Q34" s="36" t="str">
        <f aca="false">IF($A34="","",IF(N($N34)&lt;=0,"Check Amount",IF(ROUND($O34,2)&lt;=0,"Unpaid",IF(ROUND($O34-$N34,2)&gt;0,"Overpaid",IF(ROUND($P34,2)&lt;=0,"Paid","Partially Paid")))))</f>
        <v>Paid</v>
      </c>
      <c r="R34" s="47" t="n">
        <f aca="false">IF(OR($A34="",$M34=""),"",IF(ROUND($P34,2)&lt;=0,0,MAX(0,Settings!$C$5-$M34-Settings!$C$7)))</f>
        <v>0</v>
      </c>
      <c r="S34" s="30" t="n">
        <f aca="false">IF($A34="","",IF(N($R34)&gt;0,MAX($P34,0),0))</f>
        <v>0</v>
      </c>
      <c r="T34" s="36" t="str">
        <f aca="false">IF($A34="","",IF(ROUND($P34,2)&lt;0,"Supplier Credit",IF(ROUND($P34,2)=0,"Closed",IF($M34="","No Due Date",IF(N($R34)&lt;=0,"Not Due Yet",IF(N($R34)&lt;=Settings!$C$8,"1-30 Days Overdue",IF(N($R34)&lt;=Settings!$C$9,"31-60 Days Overdue",IF(N($R34)&lt;=Settings!$C$10,"61-90 Days Overdue","90+ Days Overdue"))))))))</f>
        <v>Closed</v>
      </c>
      <c r="U34" s="37" t="n">
        <f aca="false">IF($A34="","",IF(COUNTIFS('Payments Log'!$B$8:$B$207,$A34)=0,"",SUMPRODUCT(MAX(('Payments Log'!$B$8:$B$207=$A34)*'Payments Log'!$E$8:$E$207))))</f>
        <v>46197</v>
      </c>
      <c r="V34" s="36" t="str">
        <f aca="false">IF($A34="","",IF($J34="","Not Delivered",IF($I34="","No Target Date",IF($J34&lt;=$I34,"On Time","Late"))))</f>
        <v>On Time</v>
      </c>
      <c r="W34" s="36" t="str">
        <f aca="false">IF($A34="","",IF($X34="","OK","REVIEW"))</f>
        <v>OK</v>
      </c>
      <c r="X34" s="28" t="str">
        <f aca="false">IF($A34="","",TRIM(IF($B34="","Missing vendor ID. ","")&amp;IF($C34="NOT FOUND","Vendor ID not in Vendor Master. ","")&amp;IF(COUNTIFS('Invoice &amp; Delivery Log'!$A$8:$A$157,$A34)&gt;1,"Duplicate invoice ID. ","")&amp;IF(AND($D34&lt;&gt;"",COUNTIFS('Invoice &amp; Delivery Log'!$D$8:$D$157,$D34,'Invoice &amp; Delivery Log'!$B$8:$B$157,$B34)&gt;1),"Duplicate supplier invoice number. ","")&amp;IF($E34="","Missing PO number. ","")&amp;IF($H34="","Missing invoice date. ","")&amp;IF(N($N34)&lt;=0,"Invoice amount must be greater than zero. ","")&amp;IF(AND($H34&lt;&gt;"",$H34&gt;Settings!$C$5),"Invoice date is in the future. ","")&amp;IF(AND($K34="Received in Full",$J34=""),"Missing actual delivery date. ","")&amp;IF(ROUND(N($O34)-N($N34),2)&gt;0,"Payments exceed the invoice amount. ","")&amp;IF(AND($K34="Rejected",N($O34)&gt;0),"Payment made on a rejected delivery. ","")&amp;IF(AND($B34&lt;&gt;"",IFERROR(INDEX('Vendor Master'!$H$8:$H$47,MATCH($B34,'Vendor Master'!$A$8:$A$47,0)),"")="Inactive",ROUND(N($P34),2)&gt;0),"Open balance with an inactive vendor. ","")))</f>
        <v/>
      </c>
      <c r="Y34" s="36" t="str">
        <f aca="false">IF($A34="","",IF(ROUND($P34,2)&gt;0.004,"Yes","No"))</f>
        <v>No</v>
      </c>
      <c r="Z34" s="29" t="str">
        <f aca="false">IF(OR($Y34&lt;&gt;"Yes",$M34=""),"",COUNTIFS('Invoice &amp; Delivery Log'!$Y$8:$Y$157,"Yes",'Invoice &amp; Delivery Log'!$M$8:$M$157,"&lt;"&amp;$M34)+COUNTIFS('Invoice &amp; Delivery Log'!$Y$8:$Y$157,"Yes",'Invoice &amp; Delivery Log'!$M$8:$M$157,$M34,'Invoice &amp; Delivery Log'!$A$8:$A$157,"&lt;"&amp;$A34)+1)</f>
        <v/>
      </c>
    </row>
    <row r="35" customFormat="false" ht="15" hidden="false" customHeight="true" outlineLevel="0" collapsed="false">
      <c r="A35" s="44" t="s">
        <v>334</v>
      </c>
      <c r="B35" s="44" t="s">
        <v>184</v>
      </c>
      <c r="C35" s="59" t="str">
        <f aca="false">IF($B35="","",IFERROR(INDEX('Vendor Master'!$B$8:$B$47,MATCH($B35,'Vendor Master'!$A$8:$A$47,0)),"NOT FOUND"))</f>
        <v>Prairie Print &amp; Signage</v>
      </c>
      <c r="D35" s="44" t="s">
        <v>335</v>
      </c>
      <c r="E35" s="45" t="s">
        <v>336</v>
      </c>
      <c r="F35" s="59" t="str">
        <f aca="false">IF($B35="","",IFERROR(INDEX('Vendor Master'!$C$8:$C$47,MATCH($B35,'Vendor Master'!$A$8:$A$47,0)),""))</f>
        <v>Marketing &amp; Print</v>
      </c>
      <c r="G35" s="45" t="s">
        <v>337</v>
      </c>
      <c r="H35" s="56" t="n">
        <v>46150</v>
      </c>
      <c r="I35" s="56" t="n">
        <v>46148</v>
      </c>
      <c r="J35" s="56" t="n">
        <v>46148</v>
      </c>
      <c r="K35" s="44" t="s">
        <v>237</v>
      </c>
      <c r="L35" s="60" t="n">
        <f aca="false">IF($B35="","",IFERROR(INDEX('Vendor Master'!$G$8:$G$47,MATCH($B35,'Vendor Master'!$A$8:$A$47,0)),""))</f>
        <v>21</v>
      </c>
      <c r="M35" s="61" t="n">
        <f aca="false">IF(OR($H35="",$L35=""),"",$H35+$L35)</f>
        <v>46171</v>
      </c>
      <c r="N35" s="58" t="n">
        <v>672.92</v>
      </c>
      <c r="O35" s="50" t="n">
        <f aca="false">IF($A35="","",SUMIFS('Payments Log'!$F$8:$F$207,'Payments Log'!$B$8:$B$207,$A35))</f>
        <v>672.92</v>
      </c>
      <c r="P35" s="50" t="n">
        <f aca="false">IF($A35="","",ROUND($N35-$O35,2))</f>
        <v>0</v>
      </c>
      <c r="Q35" s="53" t="str">
        <f aca="false">IF($A35="","",IF(N($N35)&lt;=0,"Check Amount",IF(ROUND($O35,2)&lt;=0,"Unpaid",IF(ROUND($O35-$N35,2)&gt;0,"Overpaid",IF(ROUND($P35,2)&lt;=0,"Paid","Partially Paid")))))</f>
        <v>Paid</v>
      </c>
      <c r="R35" s="52" t="n">
        <f aca="false">IF(OR($A35="",$M35=""),"",IF(ROUND($P35,2)&lt;=0,0,MAX(0,Settings!$C$5-$M35-Settings!$C$7)))</f>
        <v>0</v>
      </c>
      <c r="S35" s="50" t="n">
        <f aca="false">IF($A35="","",IF(N($R35)&gt;0,MAX($P35,0),0))</f>
        <v>0</v>
      </c>
      <c r="T35" s="53" t="str">
        <f aca="false">IF($A35="","",IF(ROUND($P35,2)&lt;0,"Supplier Credit",IF(ROUND($P35,2)=0,"Closed",IF($M35="","No Due Date",IF(N($R35)&lt;=0,"Not Due Yet",IF(N($R35)&lt;=Settings!$C$8,"1-30 Days Overdue",IF(N($R35)&lt;=Settings!$C$9,"31-60 Days Overdue",IF(N($R35)&lt;=Settings!$C$10,"61-90 Days Overdue","90+ Days Overdue"))))))))</f>
        <v>Closed</v>
      </c>
      <c r="U35" s="61" t="n">
        <f aca="false">IF($A35="","",IF(COUNTIFS('Payments Log'!$B$8:$B$207,$A35)=0,"",SUMPRODUCT(MAX(('Payments Log'!$B$8:$B$207=$A35)*'Payments Log'!$E$8:$E$207))))</f>
        <v>46158</v>
      </c>
      <c r="V35" s="53" t="str">
        <f aca="false">IF($A35="","",IF($J35="","Not Delivered",IF($I35="","No Target Date",IF($J35&lt;=$I35,"On Time","Late"))))</f>
        <v>On Time</v>
      </c>
      <c r="W35" s="53" t="str">
        <f aca="false">IF($A35="","",IF($X35="","OK","REVIEW"))</f>
        <v>OK</v>
      </c>
      <c r="X35" s="62" t="str">
        <f aca="false">IF($A35="","",TRIM(IF($B35="","Missing vendor ID. ","")&amp;IF($C35="NOT FOUND","Vendor ID not in Vendor Master. ","")&amp;IF(COUNTIFS('Invoice &amp; Delivery Log'!$A$8:$A$157,$A35)&gt;1,"Duplicate invoice ID. ","")&amp;IF(AND($D35&lt;&gt;"",COUNTIFS('Invoice &amp; Delivery Log'!$D$8:$D$157,$D35,'Invoice &amp; Delivery Log'!$B$8:$B$157,$B35)&gt;1),"Duplicate supplier invoice number. ","")&amp;IF($E35="","Missing PO number. ","")&amp;IF($H35="","Missing invoice date. ","")&amp;IF(N($N35)&lt;=0,"Invoice amount must be greater than zero. ","")&amp;IF(AND($H35&lt;&gt;"",$H35&gt;Settings!$C$5),"Invoice date is in the future. ","")&amp;IF(AND($K35="Received in Full",$J35=""),"Missing actual delivery date. ","")&amp;IF(ROUND(N($O35)-N($N35),2)&gt;0,"Payments exceed the invoice amount. ","")&amp;IF(AND($K35="Rejected",N($O35)&gt;0),"Payment made on a rejected delivery. ","")&amp;IF(AND($B35&lt;&gt;"",IFERROR(INDEX('Vendor Master'!$H$8:$H$47,MATCH($B35,'Vendor Master'!$A$8:$A$47,0)),"")="Inactive",ROUND(N($P35),2)&gt;0),"Open balance with an inactive vendor. ","")))</f>
        <v/>
      </c>
      <c r="Y35" s="53" t="str">
        <f aca="false">IF($A35="","",IF(ROUND($P35,2)&gt;0.004,"Yes","No"))</f>
        <v>No</v>
      </c>
      <c r="Z35" s="49" t="str">
        <f aca="false">IF(OR($Y35&lt;&gt;"Yes",$M35=""),"",COUNTIFS('Invoice &amp; Delivery Log'!$Y$8:$Y$157,"Yes",'Invoice &amp; Delivery Log'!$M$8:$M$157,"&lt;"&amp;$M35)+COUNTIFS('Invoice &amp; Delivery Log'!$Y$8:$Y$157,"Yes",'Invoice &amp; Delivery Log'!$M$8:$M$157,$M35,'Invoice &amp; Delivery Log'!$A$8:$A$157,"&lt;"&amp;$A35)+1)</f>
        <v/>
      </c>
    </row>
    <row r="36" customFormat="false" ht="15" hidden="false" customHeight="true" outlineLevel="0" collapsed="false">
      <c r="A36" s="44" t="s">
        <v>338</v>
      </c>
      <c r="B36" s="44" t="s">
        <v>196</v>
      </c>
      <c r="C36" s="55" t="str">
        <f aca="false">IF($B36="","",IFERROR(INDEX('Vendor Master'!$B$8:$B$47,MATCH($B36,'Vendor Master'!$A$8:$A$47,0)),"NOT FOUND"))</f>
        <v>Copperfield Textiles</v>
      </c>
      <c r="D36" s="44" t="s">
        <v>339</v>
      </c>
      <c r="E36" s="45" t="s">
        <v>340</v>
      </c>
      <c r="F36" s="55" t="str">
        <f aca="false">IF($B36="","",IFERROR(INDEX('Vendor Master'!$C$8:$C$47,MATCH($B36,'Vendor Master'!$A$8:$A$47,0)),""))</f>
        <v>Textiles</v>
      </c>
      <c r="G36" s="45" t="s">
        <v>317</v>
      </c>
      <c r="H36" s="56" t="n">
        <v>46152</v>
      </c>
      <c r="I36" s="56" t="n">
        <v>46149</v>
      </c>
      <c r="J36" s="56" t="n">
        <v>46152</v>
      </c>
      <c r="K36" s="44" t="s">
        <v>237</v>
      </c>
      <c r="L36" s="57" t="n">
        <f aca="false">IF($B36="","",IFERROR(INDEX('Vendor Master'!$G$8:$G$47,MATCH($B36,'Vendor Master'!$A$8:$A$47,0)),""))</f>
        <v>60</v>
      </c>
      <c r="M36" s="37" t="n">
        <f aca="false">IF(OR($H36="",$L36=""),"",$H36+$L36)</f>
        <v>46212</v>
      </c>
      <c r="N36" s="58" t="n">
        <v>10842.29</v>
      </c>
      <c r="O36" s="30" t="n">
        <f aca="false">IF($A36="","",SUMIFS('Payments Log'!$F$8:$F$207,'Payments Log'!$B$8:$B$207,$A36))</f>
        <v>10842.29</v>
      </c>
      <c r="P36" s="30" t="n">
        <f aca="false">IF($A36="","",ROUND($N36-$O36,2))</f>
        <v>0</v>
      </c>
      <c r="Q36" s="36" t="str">
        <f aca="false">IF($A36="","",IF(N($N36)&lt;=0,"Check Amount",IF(ROUND($O36,2)&lt;=0,"Unpaid",IF(ROUND($O36-$N36,2)&gt;0,"Overpaid",IF(ROUND($P36,2)&lt;=0,"Paid","Partially Paid")))))</f>
        <v>Paid</v>
      </c>
      <c r="R36" s="47" t="n">
        <f aca="false">IF(OR($A36="",$M36=""),"",IF(ROUND($P36,2)&lt;=0,0,MAX(0,Settings!$C$5-$M36-Settings!$C$7)))</f>
        <v>0</v>
      </c>
      <c r="S36" s="30" t="n">
        <f aca="false">IF($A36="","",IF(N($R36)&gt;0,MAX($P36,0),0))</f>
        <v>0</v>
      </c>
      <c r="T36" s="36" t="str">
        <f aca="false">IF($A36="","",IF(ROUND($P36,2)&lt;0,"Supplier Credit",IF(ROUND($P36,2)=0,"Closed",IF($M36="","No Due Date",IF(N($R36)&lt;=0,"Not Due Yet",IF(N($R36)&lt;=Settings!$C$8,"1-30 Days Overdue",IF(N($R36)&lt;=Settings!$C$9,"31-60 Days Overdue",IF(N($R36)&lt;=Settings!$C$10,"61-90 Days Overdue","90+ Days Overdue"))))))))</f>
        <v>Closed</v>
      </c>
      <c r="U36" s="37" t="n">
        <f aca="false">IF($A36="","",IF(COUNTIFS('Payments Log'!$B$8:$B$207,$A36)=0,"",SUMPRODUCT(MAX(('Payments Log'!$B$8:$B$207=$A36)*'Payments Log'!$E$8:$E$207))))</f>
        <v>46177</v>
      </c>
      <c r="V36" s="36" t="str">
        <f aca="false">IF($A36="","",IF($J36="","Not Delivered",IF($I36="","No Target Date",IF($J36&lt;=$I36,"On Time","Late"))))</f>
        <v>Late</v>
      </c>
      <c r="W36" s="36" t="str">
        <f aca="false">IF($A36="","",IF($X36="","OK","REVIEW"))</f>
        <v>OK</v>
      </c>
      <c r="X36" s="28" t="str">
        <f aca="false">IF($A36="","",TRIM(IF($B36="","Missing vendor ID. ","")&amp;IF($C36="NOT FOUND","Vendor ID not in Vendor Master. ","")&amp;IF(COUNTIFS('Invoice &amp; Delivery Log'!$A$8:$A$157,$A36)&gt;1,"Duplicate invoice ID. ","")&amp;IF(AND($D36&lt;&gt;"",COUNTIFS('Invoice &amp; Delivery Log'!$D$8:$D$157,$D36,'Invoice &amp; Delivery Log'!$B$8:$B$157,$B36)&gt;1),"Duplicate supplier invoice number. ","")&amp;IF($E36="","Missing PO number. ","")&amp;IF($H36="","Missing invoice date. ","")&amp;IF(N($N36)&lt;=0,"Invoice amount must be greater than zero. ","")&amp;IF(AND($H36&lt;&gt;"",$H36&gt;Settings!$C$5),"Invoice date is in the future. ","")&amp;IF(AND($K36="Received in Full",$J36=""),"Missing actual delivery date. ","")&amp;IF(ROUND(N($O36)-N($N36),2)&gt;0,"Payments exceed the invoice amount. ","")&amp;IF(AND($K36="Rejected",N($O36)&gt;0),"Payment made on a rejected delivery. ","")&amp;IF(AND($B36&lt;&gt;"",IFERROR(INDEX('Vendor Master'!$H$8:$H$47,MATCH($B36,'Vendor Master'!$A$8:$A$47,0)),"")="Inactive",ROUND(N($P36),2)&gt;0),"Open balance with an inactive vendor. ","")))</f>
        <v/>
      </c>
      <c r="Y36" s="36" t="str">
        <f aca="false">IF($A36="","",IF(ROUND($P36,2)&gt;0.004,"Yes","No"))</f>
        <v>No</v>
      </c>
      <c r="Z36" s="29" t="str">
        <f aca="false">IF(OR($Y36&lt;&gt;"Yes",$M36=""),"",COUNTIFS('Invoice &amp; Delivery Log'!$Y$8:$Y$157,"Yes",'Invoice &amp; Delivery Log'!$M$8:$M$157,"&lt;"&amp;$M36)+COUNTIFS('Invoice &amp; Delivery Log'!$Y$8:$Y$157,"Yes",'Invoice &amp; Delivery Log'!$M$8:$M$157,$M36,'Invoice &amp; Delivery Log'!$A$8:$A$157,"&lt;"&amp;$A36)+1)</f>
        <v/>
      </c>
    </row>
    <row r="37" customFormat="false" ht="15" hidden="false" customHeight="true" outlineLevel="0" collapsed="false">
      <c r="A37" s="44" t="s">
        <v>341</v>
      </c>
      <c r="B37" s="44" t="s">
        <v>190</v>
      </c>
      <c r="C37" s="59" t="str">
        <f aca="false">IF($B37="","",IFERROR(INDEX('Vendor Master'!$B$8:$B$47,MATCH($B37,'Vendor Master'!$A$8:$A$47,0)),"NOT FOUND"))</f>
        <v>Vertex IT Solutions</v>
      </c>
      <c r="D37" s="44" t="s">
        <v>342</v>
      </c>
      <c r="E37" s="45" t="s">
        <v>343</v>
      </c>
      <c r="F37" s="59" t="str">
        <f aca="false">IF($B37="","",IFERROR(INDEX('Vendor Master'!$C$8:$C$47,MATCH($B37,'Vendor Master'!$A$8:$A$47,0)),""))</f>
        <v>IT &amp; Software</v>
      </c>
      <c r="G37" s="45" t="s">
        <v>285</v>
      </c>
      <c r="H37" s="56" t="n">
        <v>46153</v>
      </c>
      <c r="I37" s="56" t="n">
        <v>46152</v>
      </c>
      <c r="J37" s="56" t="n">
        <v>46150</v>
      </c>
      <c r="K37" s="44" t="s">
        <v>237</v>
      </c>
      <c r="L37" s="60" t="n">
        <f aca="false">IF($B37="","",IFERROR(INDEX('Vendor Master'!$G$8:$G$47,MATCH($B37,'Vendor Master'!$A$8:$A$47,0)),""))</f>
        <v>30</v>
      </c>
      <c r="M37" s="61" t="n">
        <f aca="false">IF(OR($H37="",$L37=""),"",$H37+$L37)</f>
        <v>46183</v>
      </c>
      <c r="N37" s="58" t="n">
        <v>8642.41</v>
      </c>
      <c r="O37" s="50" t="n">
        <f aca="false">IF($A37="","",SUMIFS('Payments Log'!$F$8:$F$207,'Payments Log'!$B$8:$B$207,$A37))</f>
        <v>8642.41</v>
      </c>
      <c r="P37" s="50" t="n">
        <f aca="false">IF($A37="","",ROUND($N37-$O37,2))</f>
        <v>0</v>
      </c>
      <c r="Q37" s="53" t="str">
        <f aca="false">IF($A37="","",IF(N($N37)&lt;=0,"Check Amount",IF(ROUND($O37,2)&lt;=0,"Unpaid",IF(ROUND($O37-$N37,2)&gt;0,"Overpaid",IF(ROUND($P37,2)&lt;=0,"Paid","Partially Paid")))))</f>
        <v>Paid</v>
      </c>
      <c r="R37" s="52" t="n">
        <f aca="false">IF(OR($A37="",$M37=""),"",IF(ROUND($P37,2)&lt;=0,0,MAX(0,Settings!$C$5-$M37-Settings!$C$7)))</f>
        <v>0</v>
      </c>
      <c r="S37" s="50" t="n">
        <f aca="false">IF($A37="","",IF(N($R37)&gt;0,MAX($P37,0),0))</f>
        <v>0</v>
      </c>
      <c r="T37" s="53" t="str">
        <f aca="false">IF($A37="","",IF(ROUND($P37,2)&lt;0,"Supplier Credit",IF(ROUND($P37,2)=0,"Closed",IF($M37="","No Due Date",IF(N($R37)&lt;=0,"Not Due Yet",IF(N($R37)&lt;=Settings!$C$8,"1-30 Days Overdue",IF(N($R37)&lt;=Settings!$C$9,"31-60 Days Overdue",IF(N($R37)&lt;=Settings!$C$10,"61-90 Days Overdue","90+ Days Overdue"))))))))</f>
        <v>Closed</v>
      </c>
      <c r="U37" s="61" t="n">
        <f aca="false">IF($A37="","",IF(COUNTIFS('Payments Log'!$B$8:$B$207,$A37)=0,"",SUMPRODUCT(MAX(('Payments Log'!$B$8:$B$207=$A37)*'Payments Log'!$E$8:$E$207))))</f>
        <v>46183</v>
      </c>
      <c r="V37" s="53" t="str">
        <f aca="false">IF($A37="","",IF($J37="","Not Delivered",IF($I37="","No Target Date",IF($J37&lt;=$I37,"On Time","Late"))))</f>
        <v>On Time</v>
      </c>
      <c r="W37" s="53" t="str">
        <f aca="false">IF($A37="","",IF($X37="","OK","REVIEW"))</f>
        <v>OK</v>
      </c>
      <c r="X37" s="62" t="str">
        <f aca="false">IF($A37="","",TRIM(IF($B37="","Missing vendor ID. ","")&amp;IF($C37="NOT FOUND","Vendor ID not in Vendor Master. ","")&amp;IF(COUNTIFS('Invoice &amp; Delivery Log'!$A$8:$A$157,$A37)&gt;1,"Duplicate invoice ID. ","")&amp;IF(AND($D37&lt;&gt;"",COUNTIFS('Invoice &amp; Delivery Log'!$D$8:$D$157,$D37,'Invoice &amp; Delivery Log'!$B$8:$B$157,$B37)&gt;1),"Duplicate supplier invoice number. ","")&amp;IF($E37="","Missing PO number. ","")&amp;IF($H37="","Missing invoice date. ","")&amp;IF(N($N37)&lt;=0,"Invoice amount must be greater than zero. ","")&amp;IF(AND($H37&lt;&gt;"",$H37&gt;Settings!$C$5),"Invoice date is in the future. ","")&amp;IF(AND($K37="Received in Full",$J37=""),"Missing actual delivery date. ","")&amp;IF(ROUND(N($O37)-N($N37),2)&gt;0,"Payments exceed the invoice amount. ","")&amp;IF(AND($K37="Rejected",N($O37)&gt;0),"Payment made on a rejected delivery. ","")&amp;IF(AND($B37&lt;&gt;"",IFERROR(INDEX('Vendor Master'!$H$8:$H$47,MATCH($B37,'Vendor Master'!$A$8:$A$47,0)),"")="Inactive",ROUND(N($P37),2)&gt;0),"Open balance with an inactive vendor. ","")))</f>
        <v/>
      </c>
      <c r="Y37" s="53" t="str">
        <f aca="false">IF($A37="","",IF(ROUND($P37,2)&gt;0.004,"Yes","No"))</f>
        <v>No</v>
      </c>
      <c r="Z37" s="49" t="str">
        <f aca="false">IF(OR($Y37&lt;&gt;"Yes",$M37=""),"",COUNTIFS('Invoice &amp; Delivery Log'!$Y$8:$Y$157,"Yes",'Invoice &amp; Delivery Log'!$M$8:$M$157,"&lt;"&amp;$M37)+COUNTIFS('Invoice &amp; Delivery Log'!$Y$8:$Y$157,"Yes",'Invoice &amp; Delivery Log'!$M$8:$M$157,$M37,'Invoice &amp; Delivery Log'!$A$8:$A$157,"&lt;"&amp;$A37)+1)</f>
        <v/>
      </c>
    </row>
    <row r="38" customFormat="false" ht="15" hidden="false" customHeight="true" outlineLevel="0" collapsed="false">
      <c r="A38" s="44" t="s">
        <v>344</v>
      </c>
      <c r="B38" s="44" t="s">
        <v>160</v>
      </c>
      <c r="C38" s="55" t="str">
        <f aca="false">IF($B38="","",IFERROR(INDEX('Vendor Master'!$B$8:$B$47,MATCH($B38,'Vendor Master'!$A$8:$A$47,0)),"NOT FOUND"))</f>
        <v>Lakeshore Packaging Group</v>
      </c>
      <c r="D38" s="44" t="s">
        <v>345</v>
      </c>
      <c r="E38" s="45" t="s">
        <v>346</v>
      </c>
      <c r="F38" s="55" t="str">
        <f aca="false">IF($B38="","",IFERROR(INDEX('Vendor Master'!$C$8:$C$47,MATCH($B38,'Vendor Master'!$A$8:$A$47,0)),""))</f>
        <v>Packaging</v>
      </c>
      <c r="G38" s="45" t="s">
        <v>309</v>
      </c>
      <c r="H38" s="56" t="n">
        <v>46172</v>
      </c>
      <c r="I38" s="56" t="n">
        <v>46169</v>
      </c>
      <c r="J38" s="56" t="n">
        <v>46169</v>
      </c>
      <c r="K38" s="44" t="s">
        <v>237</v>
      </c>
      <c r="L38" s="57" t="n">
        <f aca="false">IF($B38="","",IFERROR(INDEX('Vendor Master'!$G$8:$G$47,MATCH($B38,'Vendor Master'!$A$8:$A$47,0)),""))</f>
        <v>30</v>
      </c>
      <c r="M38" s="37" t="n">
        <f aca="false">IF(OR($H38="",$L38=""),"",$H38+$L38)</f>
        <v>46202</v>
      </c>
      <c r="N38" s="58" t="n">
        <v>4695.58</v>
      </c>
      <c r="O38" s="30" t="n">
        <f aca="false">IF($A38="","",SUMIFS('Payments Log'!$F$8:$F$207,'Payments Log'!$B$8:$B$207,$A38))</f>
        <v>4695.58</v>
      </c>
      <c r="P38" s="30" t="n">
        <f aca="false">IF($A38="","",ROUND($N38-$O38,2))</f>
        <v>0</v>
      </c>
      <c r="Q38" s="36" t="str">
        <f aca="false">IF($A38="","",IF(N($N38)&lt;=0,"Check Amount",IF(ROUND($O38,2)&lt;=0,"Unpaid",IF(ROUND($O38-$N38,2)&gt;0,"Overpaid",IF(ROUND($P38,2)&lt;=0,"Paid","Partially Paid")))))</f>
        <v>Paid</v>
      </c>
      <c r="R38" s="47" t="n">
        <f aca="false">IF(OR($A38="",$M38=""),"",IF(ROUND($P38,2)&lt;=0,0,MAX(0,Settings!$C$5-$M38-Settings!$C$7)))</f>
        <v>0</v>
      </c>
      <c r="S38" s="30" t="n">
        <f aca="false">IF($A38="","",IF(N($R38)&gt;0,MAX($P38,0),0))</f>
        <v>0</v>
      </c>
      <c r="T38" s="36" t="str">
        <f aca="false">IF($A38="","",IF(ROUND($P38,2)&lt;0,"Supplier Credit",IF(ROUND($P38,2)=0,"Closed",IF($M38="","No Due Date",IF(N($R38)&lt;=0,"Not Due Yet",IF(N($R38)&lt;=Settings!$C$8,"1-30 Days Overdue",IF(N($R38)&lt;=Settings!$C$9,"31-60 Days Overdue",IF(N($R38)&lt;=Settings!$C$10,"61-90 Days Overdue","90+ Days Overdue"))))))))</f>
        <v>Closed</v>
      </c>
      <c r="U38" s="37" t="n">
        <f aca="false">IF($A38="","",IF(COUNTIFS('Payments Log'!$B$8:$B$207,$A38)=0,"",SUMPRODUCT(MAX(('Payments Log'!$B$8:$B$207=$A38)*'Payments Log'!$E$8:$E$207))))</f>
        <v>46192</v>
      </c>
      <c r="V38" s="36" t="str">
        <f aca="false">IF($A38="","",IF($J38="","Not Delivered",IF($I38="","No Target Date",IF($J38&lt;=$I38,"On Time","Late"))))</f>
        <v>On Time</v>
      </c>
      <c r="W38" s="36" t="str">
        <f aca="false">IF($A38="","",IF($X38="","OK","REVIEW"))</f>
        <v>OK</v>
      </c>
      <c r="X38" s="28" t="str">
        <f aca="false">IF($A38="","",TRIM(IF($B38="","Missing vendor ID. ","")&amp;IF($C38="NOT FOUND","Vendor ID not in Vendor Master. ","")&amp;IF(COUNTIFS('Invoice &amp; Delivery Log'!$A$8:$A$157,$A38)&gt;1,"Duplicate invoice ID. ","")&amp;IF(AND($D38&lt;&gt;"",COUNTIFS('Invoice &amp; Delivery Log'!$D$8:$D$157,$D38,'Invoice &amp; Delivery Log'!$B$8:$B$157,$B38)&gt;1),"Duplicate supplier invoice number. ","")&amp;IF($E38="","Missing PO number. ","")&amp;IF($H38="","Missing invoice date. ","")&amp;IF(N($N38)&lt;=0,"Invoice amount must be greater than zero. ","")&amp;IF(AND($H38&lt;&gt;"",$H38&gt;Settings!$C$5),"Invoice date is in the future. ","")&amp;IF(AND($K38="Received in Full",$J38=""),"Missing actual delivery date. ","")&amp;IF(ROUND(N($O38)-N($N38),2)&gt;0,"Payments exceed the invoice amount. ","")&amp;IF(AND($K38="Rejected",N($O38)&gt;0),"Payment made on a rejected delivery. ","")&amp;IF(AND($B38&lt;&gt;"",IFERROR(INDEX('Vendor Master'!$H$8:$H$47,MATCH($B38,'Vendor Master'!$A$8:$A$47,0)),"")="Inactive",ROUND(N($P38),2)&gt;0),"Open balance with an inactive vendor. ","")))</f>
        <v/>
      </c>
      <c r="Y38" s="36" t="str">
        <f aca="false">IF($A38="","",IF(ROUND($P38,2)&gt;0.004,"Yes","No"))</f>
        <v>No</v>
      </c>
      <c r="Z38" s="29" t="str">
        <f aca="false">IF(OR($Y38&lt;&gt;"Yes",$M38=""),"",COUNTIFS('Invoice &amp; Delivery Log'!$Y$8:$Y$157,"Yes",'Invoice &amp; Delivery Log'!$M$8:$M$157,"&lt;"&amp;$M38)+COUNTIFS('Invoice &amp; Delivery Log'!$Y$8:$Y$157,"Yes",'Invoice &amp; Delivery Log'!$M$8:$M$157,$M38,'Invoice &amp; Delivery Log'!$A$8:$A$157,"&lt;"&amp;$A38)+1)</f>
        <v/>
      </c>
    </row>
    <row r="39" customFormat="false" ht="15" hidden="false" customHeight="true" outlineLevel="0" collapsed="false">
      <c r="A39" s="44" t="s">
        <v>347</v>
      </c>
      <c r="B39" s="44" t="s">
        <v>190</v>
      </c>
      <c r="C39" s="59" t="str">
        <f aca="false">IF($B39="","",IFERROR(INDEX('Vendor Master'!$B$8:$B$47,MATCH($B39,'Vendor Master'!$A$8:$A$47,0)),"NOT FOUND"))</f>
        <v>Vertex IT Solutions</v>
      </c>
      <c r="D39" s="44" t="s">
        <v>348</v>
      </c>
      <c r="E39" s="45" t="s">
        <v>349</v>
      </c>
      <c r="F39" s="59" t="str">
        <f aca="false">IF($B39="","",IFERROR(INDEX('Vendor Master'!$C$8:$C$47,MATCH($B39,'Vendor Master'!$A$8:$A$47,0)),""))</f>
        <v>IT &amp; Software</v>
      </c>
      <c r="G39" s="45" t="s">
        <v>350</v>
      </c>
      <c r="H39" s="56" t="n">
        <v>46174</v>
      </c>
      <c r="I39" s="56" t="n">
        <v>46172</v>
      </c>
      <c r="J39" s="56" t="n">
        <v>46171</v>
      </c>
      <c r="K39" s="44" t="s">
        <v>237</v>
      </c>
      <c r="L39" s="60" t="n">
        <f aca="false">IF($B39="","",IFERROR(INDEX('Vendor Master'!$G$8:$G$47,MATCH($B39,'Vendor Master'!$A$8:$A$47,0)),""))</f>
        <v>30</v>
      </c>
      <c r="M39" s="61" t="n">
        <f aca="false">IF(OR($H39="",$L39=""),"",$H39+$L39)</f>
        <v>46204</v>
      </c>
      <c r="N39" s="58" t="n">
        <v>2099.34</v>
      </c>
      <c r="O39" s="50" t="n">
        <f aca="false">IF($A39="","",SUMIFS('Payments Log'!$F$8:$F$207,'Payments Log'!$B$8:$B$207,$A39))</f>
        <v>2099.34</v>
      </c>
      <c r="P39" s="50" t="n">
        <f aca="false">IF($A39="","",ROUND($N39-$O39,2))</f>
        <v>0</v>
      </c>
      <c r="Q39" s="53" t="str">
        <f aca="false">IF($A39="","",IF(N($N39)&lt;=0,"Check Amount",IF(ROUND($O39,2)&lt;=0,"Unpaid",IF(ROUND($O39-$N39,2)&gt;0,"Overpaid",IF(ROUND($P39,2)&lt;=0,"Paid","Partially Paid")))))</f>
        <v>Paid</v>
      </c>
      <c r="R39" s="52" t="n">
        <f aca="false">IF(OR($A39="",$M39=""),"",IF(ROUND($P39,2)&lt;=0,0,MAX(0,Settings!$C$5-$M39-Settings!$C$7)))</f>
        <v>0</v>
      </c>
      <c r="S39" s="50" t="n">
        <f aca="false">IF($A39="","",IF(N($R39)&gt;0,MAX($P39,0),0))</f>
        <v>0</v>
      </c>
      <c r="T39" s="53" t="str">
        <f aca="false">IF($A39="","",IF(ROUND($P39,2)&lt;0,"Supplier Credit",IF(ROUND($P39,2)=0,"Closed",IF($M39="","No Due Date",IF(N($R39)&lt;=0,"Not Due Yet",IF(N($R39)&lt;=Settings!$C$8,"1-30 Days Overdue",IF(N($R39)&lt;=Settings!$C$9,"31-60 Days Overdue",IF(N($R39)&lt;=Settings!$C$10,"61-90 Days Overdue","90+ Days Overdue"))))))))</f>
        <v>Closed</v>
      </c>
      <c r="U39" s="61" t="n">
        <f aca="false">IF($A39="","",IF(COUNTIFS('Payments Log'!$B$8:$B$207,$A39)=0,"",SUMPRODUCT(MAX(('Payments Log'!$B$8:$B$207=$A39)*'Payments Log'!$E$8:$E$207))))</f>
        <v>46207</v>
      </c>
      <c r="V39" s="53" t="str">
        <f aca="false">IF($A39="","",IF($J39="","Not Delivered",IF($I39="","No Target Date",IF($J39&lt;=$I39,"On Time","Late"))))</f>
        <v>On Time</v>
      </c>
      <c r="W39" s="53" t="str">
        <f aca="false">IF($A39="","",IF($X39="","OK","REVIEW"))</f>
        <v>OK</v>
      </c>
      <c r="X39" s="62" t="str">
        <f aca="false">IF($A39="","",TRIM(IF($B39="","Missing vendor ID. ","")&amp;IF($C39="NOT FOUND","Vendor ID not in Vendor Master. ","")&amp;IF(COUNTIFS('Invoice &amp; Delivery Log'!$A$8:$A$157,$A39)&gt;1,"Duplicate invoice ID. ","")&amp;IF(AND($D39&lt;&gt;"",COUNTIFS('Invoice &amp; Delivery Log'!$D$8:$D$157,$D39,'Invoice &amp; Delivery Log'!$B$8:$B$157,$B39)&gt;1),"Duplicate supplier invoice number. ","")&amp;IF($E39="","Missing PO number. ","")&amp;IF($H39="","Missing invoice date. ","")&amp;IF(N($N39)&lt;=0,"Invoice amount must be greater than zero. ","")&amp;IF(AND($H39&lt;&gt;"",$H39&gt;Settings!$C$5),"Invoice date is in the future. ","")&amp;IF(AND($K39="Received in Full",$J39=""),"Missing actual delivery date. ","")&amp;IF(ROUND(N($O39)-N($N39),2)&gt;0,"Payments exceed the invoice amount. ","")&amp;IF(AND($K39="Rejected",N($O39)&gt;0),"Payment made on a rejected delivery. ","")&amp;IF(AND($B39&lt;&gt;"",IFERROR(INDEX('Vendor Master'!$H$8:$H$47,MATCH($B39,'Vendor Master'!$A$8:$A$47,0)),"")="Inactive",ROUND(N($P39),2)&gt;0),"Open balance with an inactive vendor. ","")))</f>
        <v/>
      </c>
      <c r="Y39" s="53" t="str">
        <f aca="false">IF($A39="","",IF(ROUND($P39,2)&gt;0.004,"Yes","No"))</f>
        <v>No</v>
      </c>
      <c r="Z39" s="49" t="str">
        <f aca="false">IF(OR($Y39&lt;&gt;"Yes",$M39=""),"",COUNTIFS('Invoice &amp; Delivery Log'!$Y$8:$Y$157,"Yes",'Invoice &amp; Delivery Log'!$M$8:$M$157,"&lt;"&amp;$M39)+COUNTIFS('Invoice &amp; Delivery Log'!$Y$8:$Y$157,"Yes",'Invoice &amp; Delivery Log'!$M$8:$M$157,$M39,'Invoice &amp; Delivery Log'!$A$8:$A$157,"&lt;"&amp;$A39)+1)</f>
        <v/>
      </c>
    </row>
    <row r="40" customFormat="false" ht="15" hidden="false" customHeight="true" outlineLevel="0" collapsed="false">
      <c r="A40" s="44" t="s">
        <v>351</v>
      </c>
      <c r="B40" s="44" t="s">
        <v>166</v>
      </c>
      <c r="C40" s="55" t="str">
        <f aca="false">IF($B40="","",IFERROR(INDEX('Vendor Master'!$B$8:$B$47,MATCH($B40,'Vendor Master'!$A$8:$A$47,0)),"NOT FOUND"))</f>
        <v>Summit Cleaning Services</v>
      </c>
      <c r="D40" s="44" t="s">
        <v>352</v>
      </c>
      <c r="E40" s="45" t="s">
        <v>353</v>
      </c>
      <c r="F40" s="55" t="str">
        <f aca="false">IF($B40="","",IFERROR(INDEX('Vendor Master'!$C$8:$C$47,MATCH($B40,'Vendor Master'!$A$8:$A$47,0)),""))</f>
        <v>Facility Services</v>
      </c>
      <c r="G40" s="45" t="s">
        <v>281</v>
      </c>
      <c r="H40" s="56" t="n">
        <v>46172</v>
      </c>
      <c r="I40" s="56" t="n">
        <v>46172</v>
      </c>
      <c r="J40" s="56" t="n">
        <v>46172</v>
      </c>
      <c r="K40" s="44" t="s">
        <v>237</v>
      </c>
      <c r="L40" s="57" t="n">
        <f aca="false">IF($B40="","",IFERROR(INDEX('Vendor Master'!$G$8:$G$47,MATCH($B40,'Vendor Master'!$A$8:$A$47,0)),""))</f>
        <v>14</v>
      </c>
      <c r="M40" s="37" t="n">
        <f aca="false">IF(OR($H40="",$L40=""),"",$H40+$L40)</f>
        <v>46186</v>
      </c>
      <c r="N40" s="58" t="n">
        <v>1862.49</v>
      </c>
      <c r="O40" s="30" t="n">
        <f aca="false">IF($A40="","",SUMIFS('Payments Log'!$F$8:$F$207,'Payments Log'!$B$8:$B$207,$A40))</f>
        <v>1862.49</v>
      </c>
      <c r="P40" s="30" t="n">
        <f aca="false">IF($A40="","",ROUND($N40-$O40,2))</f>
        <v>0</v>
      </c>
      <c r="Q40" s="36" t="str">
        <f aca="false">IF($A40="","",IF(N($N40)&lt;=0,"Check Amount",IF(ROUND($O40,2)&lt;=0,"Unpaid",IF(ROUND($O40-$N40,2)&gt;0,"Overpaid",IF(ROUND($P40,2)&lt;=0,"Paid","Partially Paid")))))</f>
        <v>Paid</v>
      </c>
      <c r="R40" s="47" t="n">
        <f aca="false">IF(OR($A40="",$M40=""),"",IF(ROUND($P40,2)&lt;=0,0,MAX(0,Settings!$C$5-$M40-Settings!$C$7)))</f>
        <v>0</v>
      </c>
      <c r="S40" s="30" t="n">
        <f aca="false">IF($A40="","",IF(N($R40)&gt;0,MAX($P40,0),0))</f>
        <v>0</v>
      </c>
      <c r="T40" s="36" t="str">
        <f aca="false">IF($A40="","",IF(ROUND($P40,2)&lt;0,"Supplier Credit",IF(ROUND($P40,2)=0,"Closed",IF($M40="","No Due Date",IF(N($R40)&lt;=0,"Not Due Yet",IF(N($R40)&lt;=Settings!$C$8,"1-30 Days Overdue",IF(N($R40)&lt;=Settings!$C$9,"31-60 Days Overdue",IF(N($R40)&lt;=Settings!$C$10,"61-90 Days Overdue","90+ Days Overdue"))))))))</f>
        <v>Closed</v>
      </c>
      <c r="U40" s="37" t="n">
        <f aca="false">IF($A40="","",IF(COUNTIFS('Payments Log'!$B$8:$B$207,$A40)=0,"",SUMPRODUCT(MAX(('Payments Log'!$B$8:$B$207=$A40)*'Payments Log'!$E$8:$E$207))))</f>
        <v>46179</v>
      </c>
      <c r="V40" s="36" t="str">
        <f aca="false">IF($A40="","",IF($J40="","Not Delivered",IF($I40="","No Target Date",IF($J40&lt;=$I40,"On Time","Late"))))</f>
        <v>On Time</v>
      </c>
      <c r="W40" s="36" t="str">
        <f aca="false">IF($A40="","",IF($X40="","OK","REVIEW"))</f>
        <v>OK</v>
      </c>
      <c r="X40" s="28" t="str">
        <f aca="false">IF($A40="","",TRIM(IF($B40="","Missing vendor ID. ","")&amp;IF($C40="NOT FOUND","Vendor ID not in Vendor Master. ","")&amp;IF(COUNTIFS('Invoice &amp; Delivery Log'!$A$8:$A$157,$A40)&gt;1,"Duplicate invoice ID. ","")&amp;IF(AND($D40&lt;&gt;"",COUNTIFS('Invoice &amp; Delivery Log'!$D$8:$D$157,$D40,'Invoice &amp; Delivery Log'!$B$8:$B$157,$B40)&gt;1),"Duplicate supplier invoice number. ","")&amp;IF($E40="","Missing PO number. ","")&amp;IF($H40="","Missing invoice date. ","")&amp;IF(N($N40)&lt;=0,"Invoice amount must be greater than zero. ","")&amp;IF(AND($H40&lt;&gt;"",$H40&gt;Settings!$C$5),"Invoice date is in the future. ","")&amp;IF(AND($K40="Received in Full",$J40=""),"Missing actual delivery date. ","")&amp;IF(ROUND(N($O40)-N($N40),2)&gt;0,"Payments exceed the invoice amount. ","")&amp;IF(AND($K40="Rejected",N($O40)&gt;0),"Payment made on a rejected delivery. ","")&amp;IF(AND($B40&lt;&gt;"",IFERROR(INDEX('Vendor Master'!$H$8:$H$47,MATCH($B40,'Vendor Master'!$A$8:$A$47,0)),"")="Inactive",ROUND(N($P40),2)&gt;0),"Open balance with an inactive vendor. ","")))</f>
        <v/>
      </c>
      <c r="Y40" s="36" t="str">
        <f aca="false">IF($A40="","",IF(ROUND($P40,2)&gt;0.004,"Yes","No"))</f>
        <v>No</v>
      </c>
      <c r="Z40" s="29" t="str">
        <f aca="false">IF(OR($Y40&lt;&gt;"Yes",$M40=""),"",COUNTIFS('Invoice &amp; Delivery Log'!$Y$8:$Y$157,"Yes",'Invoice &amp; Delivery Log'!$M$8:$M$157,"&lt;"&amp;$M40)+COUNTIFS('Invoice &amp; Delivery Log'!$Y$8:$Y$157,"Yes",'Invoice &amp; Delivery Log'!$M$8:$M$157,$M40,'Invoice &amp; Delivery Log'!$A$8:$A$157,"&lt;"&amp;$A40)+1)</f>
        <v/>
      </c>
    </row>
    <row r="41" customFormat="false" ht="15" hidden="false" customHeight="true" outlineLevel="0" collapsed="false">
      <c r="A41" s="44" t="s">
        <v>354</v>
      </c>
      <c r="B41" s="44" t="s">
        <v>148</v>
      </c>
      <c r="C41" s="59" t="str">
        <f aca="false">IF($B41="","",IFERROR(INDEX('Vendor Master'!$B$8:$B$47,MATCH($B41,'Vendor Master'!$A$8:$A$47,0)),"NOT FOUND"))</f>
        <v>Cascade Foods Distribution</v>
      </c>
      <c r="D41" s="44" t="s">
        <v>355</v>
      </c>
      <c r="E41" s="45" t="s">
        <v>356</v>
      </c>
      <c r="F41" s="59" t="str">
        <f aca="false">IF($B41="","",IFERROR(INDEX('Vendor Master'!$C$8:$C$47,MATCH($B41,'Vendor Master'!$A$8:$A$47,0)),""))</f>
        <v>Food &amp; Beverage</v>
      </c>
      <c r="G41" s="45" t="s">
        <v>249</v>
      </c>
      <c r="H41" s="56" t="n">
        <v>46178</v>
      </c>
      <c r="I41" s="56" t="n">
        <v>46177</v>
      </c>
      <c r="J41" s="56" t="n">
        <v>46177</v>
      </c>
      <c r="K41" s="44" t="s">
        <v>237</v>
      </c>
      <c r="L41" s="60" t="n">
        <f aca="false">IF($B41="","",IFERROR(INDEX('Vendor Master'!$G$8:$G$47,MATCH($B41,'Vendor Master'!$A$8:$A$47,0)),""))</f>
        <v>15</v>
      </c>
      <c r="M41" s="61" t="n">
        <f aca="false">IF(OR($H41="",$L41=""),"",$H41+$L41)</f>
        <v>46193</v>
      </c>
      <c r="N41" s="58" t="n">
        <v>1471.09</v>
      </c>
      <c r="O41" s="50" t="n">
        <f aca="false">IF($A41="","",SUMIFS('Payments Log'!$F$8:$F$207,'Payments Log'!$B$8:$B$207,$A41))</f>
        <v>829.81</v>
      </c>
      <c r="P41" s="50" t="n">
        <f aca="false">IF($A41="","",ROUND($N41-$O41,2))</f>
        <v>641.28</v>
      </c>
      <c r="Q41" s="53" t="str">
        <f aca="false">IF($A41="","",IF(N($N41)&lt;=0,"Check Amount",IF(ROUND($O41,2)&lt;=0,"Unpaid",IF(ROUND($O41-$N41,2)&gt;0,"Overpaid",IF(ROUND($P41,2)&lt;=0,"Paid","Partially Paid")))))</f>
        <v>Partially Paid</v>
      </c>
      <c r="R41" s="52" t="n">
        <f aca="false">IF(OR($A41="",$M41=""),"",IF(ROUND($P41,2)&lt;=0,0,MAX(0,Settings!$C$5-$M41-Settings!$C$7)))</f>
        <v>79</v>
      </c>
      <c r="S41" s="50" t="n">
        <f aca="false">IF($A41="","",IF(N($R41)&gt;0,MAX($P41,0),0))</f>
        <v>641.28</v>
      </c>
      <c r="T41" s="53" t="str">
        <f aca="false">IF($A41="","",IF(ROUND($P41,2)&lt;0,"Supplier Credit",IF(ROUND($P41,2)=0,"Closed",IF($M41="","No Due Date",IF(N($R41)&lt;=0,"Not Due Yet",IF(N($R41)&lt;=Settings!$C$8,"1-30 Days Overdue",IF(N($R41)&lt;=Settings!$C$9,"31-60 Days Overdue",IF(N($R41)&lt;=Settings!$C$10,"61-90 Days Overdue","90+ Days Overdue"))))))))</f>
        <v>61-90 Days Overdue</v>
      </c>
      <c r="U41" s="61" t="n">
        <f aca="false">IF($A41="","",IF(COUNTIFS('Payments Log'!$B$8:$B$207,$A41)=0,"",SUMPRODUCT(MAX(('Payments Log'!$B$8:$B$207=$A41)*'Payments Log'!$E$8:$E$207))))</f>
        <v>46183</v>
      </c>
      <c r="V41" s="53" t="str">
        <f aca="false">IF($A41="","",IF($J41="","Not Delivered",IF($I41="","No Target Date",IF($J41&lt;=$I41,"On Time","Late"))))</f>
        <v>On Time</v>
      </c>
      <c r="W41" s="53" t="str">
        <f aca="false">IF($A41="","",IF($X41="","OK","REVIEW"))</f>
        <v>OK</v>
      </c>
      <c r="X41" s="62" t="str">
        <f aca="false">IF($A41="","",TRIM(IF($B41="","Missing vendor ID. ","")&amp;IF($C41="NOT FOUND","Vendor ID not in Vendor Master. ","")&amp;IF(COUNTIFS('Invoice &amp; Delivery Log'!$A$8:$A$157,$A41)&gt;1,"Duplicate invoice ID. ","")&amp;IF(AND($D41&lt;&gt;"",COUNTIFS('Invoice &amp; Delivery Log'!$D$8:$D$157,$D41,'Invoice &amp; Delivery Log'!$B$8:$B$157,$B41)&gt;1),"Duplicate supplier invoice number. ","")&amp;IF($E41="","Missing PO number. ","")&amp;IF($H41="","Missing invoice date. ","")&amp;IF(N($N41)&lt;=0,"Invoice amount must be greater than zero. ","")&amp;IF(AND($H41&lt;&gt;"",$H41&gt;Settings!$C$5),"Invoice date is in the future. ","")&amp;IF(AND($K41="Received in Full",$J41=""),"Missing actual delivery date. ","")&amp;IF(ROUND(N($O41)-N($N41),2)&gt;0,"Payments exceed the invoice amount. ","")&amp;IF(AND($K41="Rejected",N($O41)&gt;0),"Payment made on a rejected delivery. ","")&amp;IF(AND($B41&lt;&gt;"",IFERROR(INDEX('Vendor Master'!$H$8:$H$47,MATCH($B41,'Vendor Master'!$A$8:$A$47,0)),"")="Inactive",ROUND(N($P41),2)&gt;0),"Open balance with an inactive vendor. ","")))</f>
        <v/>
      </c>
      <c r="Y41" s="53" t="str">
        <f aca="false">IF($A41="","",IF(ROUND($P41,2)&gt;0.004,"Yes","No"))</f>
        <v>Yes</v>
      </c>
      <c r="Z41" s="49" t="n">
        <f aca="false">IF(OR($Y41&lt;&gt;"Yes",$M41=""),"",COUNTIFS('Invoice &amp; Delivery Log'!$Y$8:$Y$157,"Yes",'Invoice &amp; Delivery Log'!$M$8:$M$157,"&lt;"&amp;$M41)+COUNTIFS('Invoice &amp; Delivery Log'!$Y$8:$Y$157,"Yes",'Invoice &amp; Delivery Log'!$M$8:$M$157,$M41,'Invoice &amp; Delivery Log'!$A$8:$A$157,"&lt;"&amp;$A41)+1)</f>
        <v>6</v>
      </c>
    </row>
    <row r="42" customFormat="false" ht="15" hidden="false" customHeight="true" outlineLevel="0" collapsed="false">
      <c r="A42" s="44" t="s">
        <v>357</v>
      </c>
      <c r="B42" s="44" t="s">
        <v>160</v>
      </c>
      <c r="C42" s="55" t="str">
        <f aca="false">IF($B42="","",IFERROR(INDEX('Vendor Master'!$B$8:$B$47,MATCH($B42,'Vendor Master'!$A$8:$A$47,0)),"NOT FOUND"))</f>
        <v>Lakeshore Packaging Group</v>
      </c>
      <c r="D42" s="44" t="s">
        <v>358</v>
      </c>
      <c r="E42" s="45" t="s">
        <v>359</v>
      </c>
      <c r="F42" s="55" t="str">
        <f aca="false">IF($B42="","",IFERROR(INDEX('Vendor Master'!$C$8:$C$47,MATCH($B42,'Vendor Master'!$A$8:$A$47,0)),""))</f>
        <v>Packaging</v>
      </c>
      <c r="G42" s="45" t="s">
        <v>360</v>
      </c>
      <c r="H42" s="56" t="n">
        <v>46178</v>
      </c>
      <c r="I42" s="56" t="n">
        <v>46178</v>
      </c>
      <c r="J42" s="56" t="n">
        <v>46178</v>
      </c>
      <c r="K42" s="44" t="s">
        <v>237</v>
      </c>
      <c r="L42" s="57" t="n">
        <f aca="false">IF($B42="","",IFERROR(INDEX('Vendor Master'!$G$8:$G$47,MATCH($B42,'Vendor Master'!$A$8:$A$47,0)),""))</f>
        <v>30</v>
      </c>
      <c r="M42" s="37" t="n">
        <f aca="false">IF(OR($H42="",$L42=""),"",$H42+$L42)</f>
        <v>46208</v>
      </c>
      <c r="N42" s="58" t="n">
        <v>6907.1</v>
      </c>
      <c r="O42" s="30" t="n">
        <f aca="false">IF($A42="","",SUMIFS('Payments Log'!$F$8:$F$207,'Payments Log'!$B$8:$B$207,$A42))</f>
        <v>6907.1</v>
      </c>
      <c r="P42" s="30" t="n">
        <f aca="false">IF($A42="","",ROUND($N42-$O42,2))</f>
        <v>0</v>
      </c>
      <c r="Q42" s="36" t="str">
        <f aca="false">IF($A42="","",IF(N($N42)&lt;=0,"Check Amount",IF(ROUND($O42,2)&lt;=0,"Unpaid",IF(ROUND($O42-$N42,2)&gt;0,"Overpaid",IF(ROUND($P42,2)&lt;=0,"Paid","Partially Paid")))))</f>
        <v>Paid</v>
      </c>
      <c r="R42" s="47" t="n">
        <f aca="false">IF(OR($A42="",$M42=""),"",IF(ROUND($P42,2)&lt;=0,0,MAX(0,Settings!$C$5-$M42-Settings!$C$7)))</f>
        <v>0</v>
      </c>
      <c r="S42" s="30" t="n">
        <f aca="false">IF($A42="","",IF(N($R42)&gt;0,MAX($P42,0),0))</f>
        <v>0</v>
      </c>
      <c r="T42" s="36" t="str">
        <f aca="false">IF($A42="","",IF(ROUND($P42,2)&lt;0,"Supplier Credit",IF(ROUND($P42,2)=0,"Closed",IF($M42="","No Due Date",IF(N($R42)&lt;=0,"Not Due Yet",IF(N($R42)&lt;=Settings!$C$8,"1-30 Days Overdue",IF(N($R42)&lt;=Settings!$C$9,"31-60 Days Overdue",IF(N($R42)&lt;=Settings!$C$10,"61-90 Days Overdue","90+ Days Overdue"))))))))</f>
        <v>Closed</v>
      </c>
      <c r="U42" s="37" t="n">
        <f aca="false">IF($A42="","",IF(COUNTIFS('Payments Log'!$B$8:$B$207,$A42)=0,"",SUMPRODUCT(MAX(('Payments Log'!$B$8:$B$207=$A42)*'Payments Log'!$E$8:$E$207))))</f>
        <v>46204</v>
      </c>
      <c r="V42" s="36" t="str">
        <f aca="false">IF($A42="","",IF($J42="","Not Delivered",IF($I42="","No Target Date",IF($J42&lt;=$I42,"On Time","Late"))))</f>
        <v>On Time</v>
      </c>
      <c r="W42" s="36" t="str">
        <f aca="false">IF($A42="","",IF($X42="","OK","REVIEW"))</f>
        <v>OK</v>
      </c>
      <c r="X42" s="28" t="str">
        <f aca="false">IF($A42="","",TRIM(IF($B42="","Missing vendor ID. ","")&amp;IF($C42="NOT FOUND","Vendor ID not in Vendor Master. ","")&amp;IF(COUNTIFS('Invoice &amp; Delivery Log'!$A$8:$A$157,$A42)&gt;1,"Duplicate invoice ID. ","")&amp;IF(AND($D42&lt;&gt;"",COUNTIFS('Invoice &amp; Delivery Log'!$D$8:$D$157,$D42,'Invoice &amp; Delivery Log'!$B$8:$B$157,$B42)&gt;1),"Duplicate supplier invoice number. ","")&amp;IF($E42="","Missing PO number. ","")&amp;IF($H42="","Missing invoice date. ","")&amp;IF(N($N42)&lt;=0,"Invoice amount must be greater than zero. ","")&amp;IF(AND($H42&lt;&gt;"",$H42&gt;Settings!$C$5),"Invoice date is in the future. ","")&amp;IF(AND($K42="Received in Full",$J42=""),"Missing actual delivery date. ","")&amp;IF(ROUND(N($O42)-N($N42),2)&gt;0,"Payments exceed the invoice amount. ","")&amp;IF(AND($K42="Rejected",N($O42)&gt;0),"Payment made on a rejected delivery. ","")&amp;IF(AND($B42&lt;&gt;"",IFERROR(INDEX('Vendor Master'!$H$8:$H$47,MATCH($B42,'Vendor Master'!$A$8:$A$47,0)),"")="Inactive",ROUND(N($P42),2)&gt;0),"Open balance with an inactive vendor. ","")))</f>
        <v/>
      </c>
      <c r="Y42" s="36" t="str">
        <f aca="false">IF($A42="","",IF(ROUND($P42,2)&gt;0.004,"Yes","No"))</f>
        <v>No</v>
      </c>
      <c r="Z42" s="29" t="str">
        <f aca="false">IF(OR($Y42&lt;&gt;"Yes",$M42=""),"",COUNTIFS('Invoice &amp; Delivery Log'!$Y$8:$Y$157,"Yes",'Invoice &amp; Delivery Log'!$M$8:$M$157,"&lt;"&amp;$M42)+COUNTIFS('Invoice &amp; Delivery Log'!$Y$8:$Y$157,"Yes",'Invoice &amp; Delivery Log'!$M$8:$M$157,$M42,'Invoice &amp; Delivery Log'!$A$8:$A$157,"&lt;"&amp;$A42)+1)</f>
        <v/>
      </c>
    </row>
    <row r="43" customFormat="false" ht="15" hidden="false" customHeight="true" outlineLevel="0" collapsed="false">
      <c r="A43" s="44" t="s">
        <v>361</v>
      </c>
      <c r="B43" s="44" t="s">
        <v>178</v>
      </c>
      <c r="C43" s="59" t="str">
        <f aca="false">IF($B43="","",IFERROR(INDEX('Vendor Master'!$B$8:$B$47,MATCH($B43,'Vendor Master'!$A$8:$A$47,0)),"NOT FOUND"))</f>
        <v>Bluepoint Electrical Supply</v>
      </c>
      <c r="D43" s="44" t="s">
        <v>362</v>
      </c>
      <c r="E43" s="45" t="s">
        <v>363</v>
      </c>
      <c r="F43" s="59" t="str">
        <f aca="false">IF($B43="","",IFERROR(INDEX('Vendor Master'!$C$8:$C$47,MATCH($B43,'Vendor Master'!$A$8:$A$47,0)),""))</f>
        <v>Electrical</v>
      </c>
      <c r="G43" s="45" t="s">
        <v>313</v>
      </c>
      <c r="H43" s="56" t="n">
        <v>46178</v>
      </c>
      <c r="I43" s="56" t="n">
        <v>46179</v>
      </c>
      <c r="J43" s="56" t="n">
        <v>46177</v>
      </c>
      <c r="K43" s="44" t="s">
        <v>237</v>
      </c>
      <c r="L43" s="60" t="n">
        <f aca="false">IF($B43="","",IFERROR(INDEX('Vendor Master'!$G$8:$G$47,MATCH($B43,'Vendor Master'!$A$8:$A$47,0)),""))</f>
        <v>30</v>
      </c>
      <c r="M43" s="61" t="n">
        <f aca="false">IF(OR($H43="",$L43=""),"",$H43+$L43)</f>
        <v>46208</v>
      </c>
      <c r="N43" s="58" t="n">
        <v>1655.25</v>
      </c>
      <c r="O43" s="50" t="n">
        <f aca="false">IF($A43="","",SUMIFS('Payments Log'!$F$8:$F$207,'Payments Log'!$B$8:$B$207,$A43))</f>
        <v>1655.25</v>
      </c>
      <c r="P43" s="50" t="n">
        <f aca="false">IF($A43="","",ROUND($N43-$O43,2))</f>
        <v>0</v>
      </c>
      <c r="Q43" s="53" t="str">
        <f aca="false">IF($A43="","",IF(N($N43)&lt;=0,"Check Amount",IF(ROUND($O43,2)&lt;=0,"Unpaid",IF(ROUND($O43-$N43,2)&gt;0,"Overpaid",IF(ROUND($P43,2)&lt;=0,"Paid","Partially Paid")))))</f>
        <v>Paid</v>
      </c>
      <c r="R43" s="52" t="n">
        <f aca="false">IF(OR($A43="",$M43=""),"",IF(ROUND($P43,2)&lt;=0,0,MAX(0,Settings!$C$5-$M43-Settings!$C$7)))</f>
        <v>0</v>
      </c>
      <c r="S43" s="50" t="n">
        <f aca="false">IF($A43="","",IF(N($R43)&gt;0,MAX($P43,0),0))</f>
        <v>0</v>
      </c>
      <c r="T43" s="53" t="str">
        <f aca="false">IF($A43="","",IF(ROUND($P43,2)&lt;0,"Supplier Credit",IF(ROUND($P43,2)=0,"Closed",IF($M43="","No Due Date",IF(N($R43)&lt;=0,"Not Due Yet",IF(N($R43)&lt;=Settings!$C$8,"1-30 Days Overdue",IF(N($R43)&lt;=Settings!$C$9,"31-60 Days Overdue",IF(N($R43)&lt;=Settings!$C$10,"61-90 Days Overdue","90+ Days Overdue"))))))))</f>
        <v>Closed</v>
      </c>
      <c r="U43" s="61" t="n">
        <f aca="false">IF($A43="","",IF(COUNTIFS('Payments Log'!$B$8:$B$207,$A43)=0,"",SUMPRODUCT(MAX(('Payments Log'!$B$8:$B$207=$A43)*'Payments Log'!$E$8:$E$207))))</f>
        <v>46191</v>
      </c>
      <c r="V43" s="53" t="str">
        <f aca="false">IF($A43="","",IF($J43="","Not Delivered",IF($I43="","No Target Date",IF($J43&lt;=$I43,"On Time","Late"))))</f>
        <v>On Time</v>
      </c>
      <c r="W43" s="53" t="str">
        <f aca="false">IF($A43="","",IF($X43="","OK","REVIEW"))</f>
        <v>OK</v>
      </c>
      <c r="X43" s="62" t="str">
        <f aca="false">IF($A43="","",TRIM(IF($B43="","Missing vendor ID. ","")&amp;IF($C43="NOT FOUND","Vendor ID not in Vendor Master. ","")&amp;IF(COUNTIFS('Invoice &amp; Delivery Log'!$A$8:$A$157,$A43)&gt;1,"Duplicate invoice ID. ","")&amp;IF(AND($D43&lt;&gt;"",COUNTIFS('Invoice &amp; Delivery Log'!$D$8:$D$157,$D43,'Invoice &amp; Delivery Log'!$B$8:$B$157,$B43)&gt;1),"Duplicate supplier invoice number. ","")&amp;IF($E43="","Missing PO number. ","")&amp;IF($H43="","Missing invoice date. ","")&amp;IF(N($N43)&lt;=0,"Invoice amount must be greater than zero. ","")&amp;IF(AND($H43&lt;&gt;"",$H43&gt;Settings!$C$5),"Invoice date is in the future. ","")&amp;IF(AND($K43="Received in Full",$J43=""),"Missing actual delivery date. ","")&amp;IF(ROUND(N($O43)-N($N43),2)&gt;0,"Payments exceed the invoice amount. ","")&amp;IF(AND($K43="Rejected",N($O43)&gt;0),"Payment made on a rejected delivery. ","")&amp;IF(AND($B43&lt;&gt;"",IFERROR(INDEX('Vendor Master'!$H$8:$H$47,MATCH($B43,'Vendor Master'!$A$8:$A$47,0)),"")="Inactive",ROUND(N($P43),2)&gt;0),"Open balance with an inactive vendor. ","")))</f>
        <v/>
      </c>
      <c r="Y43" s="53" t="str">
        <f aca="false">IF($A43="","",IF(ROUND($P43,2)&gt;0.004,"Yes","No"))</f>
        <v>No</v>
      </c>
      <c r="Z43" s="49" t="str">
        <f aca="false">IF(OR($Y43&lt;&gt;"Yes",$M43=""),"",COUNTIFS('Invoice &amp; Delivery Log'!$Y$8:$Y$157,"Yes",'Invoice &amp; Delivery Log'!$M$8:$M$157,"&lt;"&amp;$M43)+COUNTIFS('Invoice &amp; Delivery Log'!$Y$8:$Y$157,"Yes",'Invoice &amp; Delivery Log'!$M$8:$M$157,$M43,'Invoice &amp; Delivery Log'!$A$8:$A$157,"&lt;"&amp;$A43)+1)</f>
        <v/>
      </c>
    </row>
    <row r="44" customFormat="false" ht="15" hidden="false" customHeight="true" outlineLevel="0" collapsed="false">
      <c r="A44" s="44" t="s">
        <v>364</v>
      </c>
      <c r="B44" s="44" t="s">
        <v>160</v>
      </c>
      <c r="C44" s="55" t="str">
        <f aca="false">IF($B44="","",IFERROR(INDEX('Vendor Master'!$B$8:$B$47,MATCH($B44,'Vendor Master'!$A$8:$A$47,0)),"NOT FOUND"))</f>
        <v>Lakeshore Packaging Group</v>
      </c>
      <c r="D44" s="44" t="s">
        <v>365</v>
      </c>
      <c r="E44" s="45" t="s">
        <v>366</v>
      </c>
      <c r="F44" s="55" t="str">
        <f aca="false">IF($B44="","",IFERROR(INDEX('Vendor Master'!$C$8:$C$47,MATCH($B44,'Vendor Master'!$A$8:$A$47,0)),""))</f>
        <v>Packaging</v>
      </c>
      <c r="G44" s="45" t="s">
        <v>367</v>
      </c>
      <c r="H44" s="56" t="n">
        <v>46189</v>
      </c>
      <c r="I44" s="56" t="n">
        <v>46188</v>
      </c>
      <c r="J44" s="56" t="n">
        <v>46186</v>
      </c>
      <c r="K44" s="44" t="s">
        <v>237</v>
      </c>
      <c r="L44" s="57" t="n">
        <f aca="false">IF($B44="","",IFERROR(INDEX('Vendor Master'!$G$8:$G$47,MATCH($B44,'Vendor Master'!$A$8:$A$47,0)),""))</f>
        <v>30</v>
      </c>
      <c r="M44" s="37" t="n">
        <f aca="false">IF(OR($H44="",$L44=""),"",$H44+$L44)</f>
        <v>46219</v>
      </c>
      <c r="N44" s="58" t="n">
        <v>4413.48</v>
      </c>
      <c r="O44" s="30" t="n">
        <f aca="false">IF($A44="","",SUMIFS('Payments Log'!$F$8:$F$207,'Payments Log'!$B$8:$B$207,$A44))</f>
        <v>2472.37</v>
      </c>
      <c r="P44" s="30" t="n">
        <f aca="false">IF($A44="","",ROUND($N44-$O44,2))</f>
        <v>1941.11</v>
      </c>
      <c r="Q44" s="36" t="str">
        <f aca="false">IF($A44="","",IF(N($N44)&lt;=0,"Check Amount",IF(ROUND($O44,2)&lt;=0,"Unpaid",IF(ROUND($O44-$N44,2)&gt;0,"Overpaid",IF(ROUND($P44,2)&lt;=0,"Paid","Partially Paid")))))</f>
        <v>Partially Paid</v>
      </c>
      <c r="R44" s="47" t="n">
        <f aca="false">IF(OR($A44="",$M44=""),"",IF(ROUND($P44,2)&lt;=0,0,MAX(0,Settings!$C$5-$M44-Settings!$C$7)))</f>
        <v>53</v>
      </c>
      <c r="S44" s="30" t="n">
        <f aca="false">IF($A44="","",IF(N($R44)&gt;0,MAX($P44,0),0))</f>
        <v>1941.11</v>
      </c>
      <c r="T44" s="36" t="str">
        <f aca="false">IF($A44="","",IF(ROUND($P44,2)&lt;0,"Supplier Credit",IF(ROUND($P44,2)=0,"Closed",IF($M44="","No Due Date",IF(N($R44)&lt;=0,"Not Due Yet",IF(N($R44)&lt;=Settings!$C$8,"1-30 Days Overdue",IF(N($R44)&lt;=Settings!$C$9,"31-60 Days Overdue",IF(N($R44)&lt;=Settings!$C$10,"61-90 Days Overdue","90+ Days Overdue"))))))))</f>
        <v>31-60 Days Overdue</v>
      </c>
      <c r="U44" s="37" t="n">
        <f aca="false">IF($A44="","",IF(COUNTIFS('Payments Log'!$B$8:$B$207,$A44)=0,"",SUMPRODUCT(MAX(('Payments Log'!$B$8:$B$207=$A44)*'Payments Log'!$E$8:$E$207))))</f>
        <v>46202</v>
      </c>
      <c r="V44" s="36" t="str">
        <f aca="false">IF($A44="","",IF($J44="","Not Delivered",IF($I44="","No Target Date",IF($J44&lt;=$I44,"On Time","Late"))))</f>
        <v>On Time</v>
      </c>
      <c r="W44" s="36" t="str">
        <f aca="false">IF($A44="","",IF($X44="","OK","REVIEW"))</f>
        <v>OK</v>
      </c>
      <c r="X44" s="28" t="str">
        <f aca="false">IF($A44="","",TRIM(IF($B44="","Missing vendor ID. ","")&amp;IF($C44="NOT FOUND","Vendor ID not in Vendor Master. ","")&amp;IF(COUNTIFS('Invoice &amp; Delivery Log'!$A$8:$A$157,$A44)&gt;1,"Duplicate invoice ID. ","")&amp;IF(AND($D44&lt;&gt;"",COUNTIFS('Invoice &amp; Delivery Log'!$D$8:$D$157,$D44,'Invoice &amp; Delivery Log'!$B$8:$B$157,$B44)&gt;1),"Duplicate supplier invoice number. ","")&amp;IF($E44="","Missing PO number. ","")&amp;IF($H44="","Missing invoice date. ","")&amp;IF(N($N44)&lt;=0,"Invoice amount must be greater than zero. ","")&amp;IF(AND($H44&lt;&gt;"",$H44&gt;Settings!$C$5),"Invoice date is in the future. ","")&amp;IF(AND($K44="Received in Full",$J44=""),"Missing actual delivery date. ","")&amp;IF(ROUND(N($O44)-N($N44),2)&gt;0,"Payments exceed the invoice amount. ","")&amp;IF(AND($K44="Rejected",N($O44)&gt;0),"Payment made on a rejected delivery. ","")&amp;IF(AND($B44&lt;&gt;"",IFERROR(INDEX('Vendor Master'!$H$8:$H$47,MATCH($B44,'Vendor Master'!$A$8:$A$47,0)),"")="Inactive",ROUND(N($P44),2)&gt;0),"Open balance with an inactive vendor. ","")))</f>
        <v/>
      </c>
      <c r="Y44" s="36" t="str">
        <f aca="false">IF($A44="","",IF(ROUND($P44,2)&gt;0.004,"Yes","No"))</f>
        <v>Yes</v>
      </c>
      <c r="Z44" s="29" t="n">
        <f aca="false">IF(OR($Y44&lt;&gt;"Yes",$M44=""),"",COUNTIFS('Invoice &amp; Delivery Log'!$Y$8:$Y$157,"Yes",'Invoice &amp; Delivery Log'!$M$8:$M$157,"&lt;"&amp;$M44)+COUNTIFS('Invoice &amp; Delivery Log'!$Y$8:$Y$157,"Yes",'Invoice &amp; Delivery Log'!$M$8:$M$157,$M44,'Invoice &amp; Delivery Log'!$A$8:$A$157,"&lt;"&amp;$A44)+1)</f>
        <v>7</v>
      </c>
    </row>
    <row r="45" customFormat="false" ht="15" hidden="false" customHeight="true" outlineLevel="0" collapsed="false">
      <c r="A45" s="44" t="s">
        <v>368</v>
      </c>
      <c r="B45" s="44" t="s">
        <v>166</v>
      </c>
      <c r="C45" s="59" t="str">
        <f aca="false">IF($B45="","",IFERROR(INDEX('Vendor Master'!$B$8:$B$47,MATCH($B45,'Vendor Master'!$A$8:$A$47,0)),"NOT FOUND"))</f>
        <v>Summit Cleaning Services</v>
      </c>
      <c r="D45" s="44" t="s">
        <v>369</v>
      </c>
      <c r="E45" s="45" t="s">
        <v>370</v>
      </c>
      <c r="F45" s="59" t="str">
        <f aca="false">IF($B45="","",IFERROR(INDEX('Vendor Master'!$C$8:$C$47,MATCH($B45,'Vendor Master'!$A$8:$A$47,0)),""))</f>
        <v>Facility Services</v>
      </c>
      <c r="G45" s="45" t="s">
        <v>257</v>
      </c>
      <c r="H45" s="56" t="n">
        <v>46195</v>
      </c>
      <c r="I45" s="56" t="n">
        <v>46192</v>
      </c>
      <c r="J45" s="56" t="n">
        <v>46192</v>
      </c>
      <c r="K45" s="44" t="s">
        <v>237</v>
      </c>
      <c r="L45" s="60" t="n">
        <f aca="false">IF($B45="","",IFERROR(INDEX('Vendor Master'!$G$8:$G$47,MATCH($B45,'Vendor Master'!$A$8:$A$47,0)),""))</f>
        <v>14</v>
      </c>
      <c r="M45" s="61" t="n">
        <f aca="false">IF(OR($H45="",$L45=""),"",$H45+$L45)</f>
        <v>46209</v>
      </c>
      <c r="N45" s="58" t="n">
        <v>1862.04</v>
      </c>
      <c r="O45" s="50" t="n">
        <f aca="false">IF($A45="","",SUMIFS('Payments Log'!$F$8:$F$207,'Payments Log'!$B$8:$B$207,$A45))</f>
        <v>1862.04</v>
      </c>
      <c r="P45" s="50" t="n">
        <f aca="false">IF($A45="","",ROUND($N45-$O45,2))</f>
        <v>0</v>
      </c>
      <c r="Q45" s="53" t="str">
        <f aca="false">IF($A45="","",IF(N($N45)&lt;=0,"Check Amount",IF(ROUND($O45,2)&lt;=0,"Unpaid",IF(ROUND($O45-$N45,2)&gt;0,"Overpaid",IF(ROUND($P45,2)&lt;=0,"Paid","Partially Paid")))))</f>
        <v>Paid</v>
      </c>
      <c r="R45" s="52" t="n">
        <f aca="false">IF(OR($A45="",$M45=""),"",IF(ROUND($P45,2)&lt;=0,0,MAX(0,Settings!$C$5-$M45-Settings!$C$7)))</f>
        <v>0</v>
      </c>
      <c r="S45" s="50" t="n">
        <f aca="false">IF($A45="","",IF(N($R45)&gt;0,MAX($P45,0),0))</f>
        <v>0</v>
      </c>
      <c r="T45" s="53" t="str">
        <f aca="false">IF($A45="","",IF(ROUND($P45,2)&lt;0,"Supplier Credit",IF(ROUND($P45,2)=0,"Closed",IF($M45="","No Due Date",IF(N($R45)&lt;=0,"Not Due Yet",IF(N($R45)&lt;=Settings!$C$8,"1-30 Days Overdue",IF(N($R45)&lt;=Settings!$C$9,"31-60 Days Overdue",IF(N($R45)&lt;=Settings!$C$10,"61-90 Days Overdue","90+ Days Overdue"))))))))</f>
        <v>Closed</v>
      </c>
      <c r="U45" s="61" t="n">
        <f aca="false">IF($A45="","",IF(COUNTIFS('Payments Log'!$B$8:$B$207,$A45)=0,"",SUMPRODUCT(MAX(('Payments Log'!$B$8:$B$207=$A45)*'Payments Log'!$E$8:$E$207))))</f>
        <v>46201</v>
      </c>
      <c r="V45" s="53" t="str">
        <f aca="false">IF($A45="","",IF($J45="","Not Delivered",IF($I45="","No Target Date",IF($J45&lt;=$I45,"On Time","Late"))))</f>
        <v>On Time</v>
      </c>
      <c r="W45" s="53" t="str">
        <f aca="false">IF($A45="","",IF($X45="","OK","REVIEW"))</f>
        <v>OK</v>
      </c>
      <c r="X45" s="62" t="str">
        <f aca="false">IF($A45="","",TRIM(IF($B45="","Missing vendor ID. ","")&amp;IF($C45="NOT FOUND","Vendor ID not in Vendor Master. ","")&amp;IF(COUNTIFS('Invoice &amp; Delivery Log'!$A$8:$A$157,$A45)&gt;1,"Duplicate invoice ID. ","")&amp;IF(AND($D45&lt;&gt;"",COUNTIFS('Invoice &amp; Delivery Log'!$D$8:$D$157,$D45,'Invoice &amp; Delivery Log'!$B$8:$B$157,$B45)&gt;1),"Duplicate supplier invoice number. ","")&amp;IF($E45="","Missing PO number. ","")&amp;IF($H45="","Missing invoice date. ","")&amp;IF(N($N45)&lt;=0,"Invoice amount must be greater than zero. ","")&amp;IF(AND($H45&lt;&gt;"",$H45&gt;Settings!$C$5),"Invoice date is in the future. ","")&amp;IF(AND($K45="Received in Full",$J45=""),"Missing actual delivery date. ","")&amp;IF(ROUND(N($O45)-N($N45),2)&gt;0,"Payments exceed the invoice amount. ","")&amp;IF(AND($K45="Rejected",N($O45)&gt;0),"Payment made on a rejected delivery. ","")&amp;IF(AND($B45&lt;&gt;"",IFERROR(INDEX('Vendor Master'!$H$8:$H$47,MATCH($B45,'Vendor Master'!$A$8:$A$47,0)),"")="Inactive",ROUND(N($P45),2)&gt;0),"Open balance with an inactive vendor. ","")))</f>
        <v/>
      </c>
      <c r="Y45" s="53" t="str">
        <f aca="false">IF($A45="","",IF(ROUND($P45,2)&gt;0.004,"Yes","No"))</f>
        <v>No</v>
      </c>
      <c r="Z45" s="49" t="str">
        <f aca="false">IF(OR($Y45&lt;&gt;"Yes",$M45=""),"",COUNTIFS('Invoice &amp; Delivery Log'!$Y$8:$Y$157,"Yes",'Invoice &amp; Delivery Log'!$M$8:$M$157,"&lt;"&amp;$M45)+COUNTIFS('Invoice &amp; Delivery Log'!$Y$8:$Y$157,"Yes",'Invoice &amp; Delivery Log'!$M$8:$M$157,$M45,'Invoice &amp; Delivery Log'!$A$8:$A$157,"&lt;"&amp;$A45)+1)</f>
        <v/>
      </c>
    </row>
    <row r="46" customFormat="false" ht="15" hidden="false" customHeight="true" outlineLevel="0" collapsed="false">
      <c r="A46" s="44" t="s">
        <v>371</v>
      </c>
      <c r="B46" s="44" t="s">
        <v>166</v>
      </c>
      <c r="C46" s="55" t="str">
        <f aca="false">IF($B46="","",IFERROR(INDEX('Vendor Master'!$B$8:$B$47,MATCH($B46,'Vendor Master'!$A$8:$A$47,0)),"NOT FOUND"))</f>
        <v>Summit Cleaning Services</v>
      </c>
      <c r="D46" s="44" t="s">
        <v>372</v>
      </c>
      <c r="E46" s="45" t="s">
        <v>373</v>
      </c>
      <c r="F46" s="55" t="str">
        <f aca="false">IF($B46="","",IFERROR(INDEX('Vendor Master'!$C$8:$C$47,MATCH($B46,'Vendor Master'!$A$8:$A$47,0)),""))</f>
        <v>Facility Services</v>
      </c>
      <c r="G46" s="45" t="s">
        <v>374</v>
      </c>
      <c r="H46" s="56" t="n">
        <v>46202</v>
      </c>
      <c r="I46" s="56" t="n">
        <v>46195</v>
      </c>
      <c r="J46" s="56" t="n">
        <v>46201</v>
      </c>
      <c r="K46" s="44" t="s">
        <v>237</v>
      </c>
      <c r="L46" s="57" t="n">
        <f aca="false">IF($B46="","",IFERROR(INDEX('Vendor Master'!$G$8:$G$47,MATCH($B46,'Vendor Master'!$A$8:$A$47,0)),""))</f>
        <v>14</v>
      </c>
      <c r="M46" s="37" t="n">
        <f aca="false">IF(OR($H46="",$L46=""),"",$H46+$L46)</f>
        <v>46216</v>
      </c>
      <c r="N46" s="58" t="n">
        <v>1920.16</v>
      </c>
      <c r="O46" s="30" t="n">
        <f aca="false">IF($A46="","",SUMIFS('Payments Log'!$F$8:$F$207,'Payments Log'!$B$8:$B$207,$A46))</f>
        <v>1920.16</v>
      </c>
      <c r="P46" s="30" t="n">
        <f aca="false">IF($A46="","",ROUND($N46-$O46,2))</f>
        <v>0</v>
      </c>
      <c r="Q46" s="36" t="str">
        <f aca="false">IF($A46="","",IF(N($N46)&lt;=0,"Check Amount",IF(ROUND($O46,2)&lt;=0,"Unpaid",IF(ROUND($O46-$N46,2)&gt;0,"Overpaid",IF(ROUND($P46,2)&lt;=0,"Paid","Partially Paid")))))</f>
        <v>Paid</v>
      </c>
      <c r="R46" s="47" t="n">
        <f aca="false">IF(OR($A46="",$M46=""),"",IF(ROUND($P46,2)&lt;=0,0,MAX(0,Settings!$C$5-$M46-Settings!$C$7)))</f>
        <v>0</v>
      </c>
      <c r="S46" s="30" t="n">
        <f aca="false">IF($A46="","",IF(N($R46)&gt;0,MAX($P46,0),0))</f>
        <v>0</v>
      </c>
      <c r="T46" s="36" t="str">
        <f aca="false">IF($A46="","",IF(ROUND($P46,2)&lt;0,"Supplier Credit",IF(ROUND($P46,2)=0,"Closed",IF($M46="","No Due Date",IF(N($R46)&lt;=0,"Not Due Yet",IF(N($R46)&lt;=Settings!$C$8,"1-30 Days Overdue",IF(N($R46)&lt;=Settings!$C$9,"31-60 Days Overdue",IF(N($R46)&lt;=Settings!$C$10,"61-90 Days Overdue","90+ Days Overdue"))))))))</f>
        <v>Closed</v>
      </c>
      <c r="U46" s="37" t="n">
        <f aca="false">IF($A46="","",IF(COUNTIFS('Payments Log'!$B$8:$B$207,$A46)=0,"",SUMPRODUCT(MAX(('Payments Log'!$B$8:$B$207=$A46)*'Payments Log'!$E$8:$E$207))))</f>
        <v>46205</v>
      </c>
      <c r="V46" s="36" t="str">
        <f aca="false">IF($A46="","",IF($J46="","Not Delivered",IF($I46="","No Target Date",IF($J46&lt;=$I46,"On Time","Late"))))</f>
        <v>Late</v>
      </c>
      <c r="W46" s="36" t="str">
        <f aca="false">IF($A46="","",IF($X46="","OK","REVIEW"))</f>
        <v>OK</v>
      </c>
      <c r="X46" s="28" t="str">
        <f aca="false">IF($A46="","",TRIM(IF($B46="","Missing vendor ID. ","")&amp;IF($C46="NOT FOUND","Vendor ID not in Vendor Master. ","")&amp;IF(COUNTIFS('Invoice &amp; Delivery Log'!$A$8:$A$157,$A46)&gt;1,"Duplicate invoice ID. ","")&amp;IF(AND($D46&lt;&gt;"",COUNTIFS('Invoice &amp; Delivery Log'!$D$8:$D$157,$D46,'Invoice &amp; Delivery Log'!$B$8:$B$157,$B46)&gt;1),"Duplicate supplier invoice number. ","")&amp;IF($E46="","Missing PO number. ","")&amp;IF($H46="","Missing invoice date. ","")&amp;IF(N($N46)&lt;=0,"Invoice amount must be greater than zero. ","")&amp;IF(AND($H46&lt;&gt;"",$H46&gt;Settings!$C$5),"Invoice date is in the future. ","")&amp;IF(AND($K46="Received in Full",$J46=""),"Missing actual delivery date. ","")&amp;IF(ROUND(N($O46)-N($N46),2)&gt;0,"Payments exceed the invoice amount. ","")&amp;IF(AND($K46="Rejected",N($O46)&gt;0),"Payment made on a rejected delivery. ","")&amp;IF(AND($B46&lt;&gt;"",IFERROR(INDEX('Vendor Master'!$H$8:$H$47,MATCH($B46,'Vendor Master'!$A$8:$A$47,0)),"")="Inactive",ROUND(N($P46),2)&gt;0),"Open balance with an inactive vendor. ","")))</f>
        <v/>
      </c>
      <c r="Y46" s="36" t="str">
        <f aca="false">IF($A46="","",IF(ROUND($P46,2)&gt;0.004,"Yes","No"))</f>
        <v>No</v>
      </c>
      <c r="Z46" s="29" t="str">
        <f aca="false">IF(OR($Y46&lt;&gt;"Yes",$M46=""),"",COUNTIFS('Invoice &amp; Delivery Log'!$Y$8:$Y$157,"Yes",'Invoice &amp; Delivery Log'!$M$8:$M$157,"&lt;"&amp;$M46)+COUNTIFS('Invoice &amp; Delivery Log'!$Y$8:$Y$157,"Yes",'Invoice &amp; Delivery Log'!$M$8:$M$157,$M46,'Invoice &amp; Delivery Log'!$A$8:$A$157,"&lt;"&amp;$A46)+1)</f>
        <v/>
      </c>
    </row>
    <row r="47" customFormat="false" ht="15" hidden="false" customHeight="true" outlineLevel="0" collapsed="false">
      <c r="A47" s="44" t="s">
        <v>375</v>
      </c>
      <c r="B47" s="44" t="s">
        <v>141</v>
      </c>
      <c r="C47" s="59" t="str">
        <f aca="false">IF($B47="","",IFERROR(INDEX('Vendor Master'!$B$8:$B$47,MATCH($B47,'Vendor Master'!$A$8:$A$47,0)),"NOT FOUND"))</f>
        <v>Northwind Paper Supply</v>
      </c>
      <c r="D47" s="44" t="s">
        <v>376</v>
      </c>
      <c r="E47" s="45" t="s">
        <v>377</v>
      </c>
      <c r="F47" s="59" t="str">
        <f aca="false">IF($B47="","",IFERROR(INDEX('Vendor Master'!$C$8:$C$47,MATCH($B47,'Vendor Master'!$A$8:$A$47,0)),""))</f>
        <v>Office Supplies</v>
      </c>
      <c r="G47" s="45" t="s">
        <v>293</v>
      </c>
      <c r="H47" s="56" t="n">
        <v>46196</v>
      </c>
      <c r="I47" s="56" t="n">
        <v>46196</v>
      </c>
      <c r="J47" s="56" t="n">
        <v>46194</v>
      </c>
      <c r="K47" s="44" t="s">
        <v>274</v>
      </c>
      <c r="L47" s="60" t="n">
        <f aca="false">IF($B47="","",IFERROR(INDEX('Vendor Master'!$G$8:$G$47,MATCH($B47,'Vendor Master'!$A$8:$A$47,0)),""))</f>
        <v>30</v>
      </c>
      <c r="M47" s="61" t="n">
        <f aca="false">IF(OR($H47="",$L47=""),"",$H47+$L47)</f>
        <v>46226</v>
      </c>
      <c r="N47" s="58" t="n">
        <v>1607.26</v>
      </c>
      <c r="O47" s="50" t="n">
        <f aca="false">IF($A47="","",SUMIFS('Payments Log'!$F$8:$F$207,'Payments Log'!$B$8:$B$207,$A47))</f>
        <v>0</v>
      </c>
      <c r="P47" s="50" t="n">
        <f aca="false">IF($A47="","",ROUND($N47-$O47,2))</f>
        <v>1607.26</v>
      </c>
      <c r="Q47" s="53" t="str">
        <f aca="false">IF($A47="","",IF(N($N47)&lt;=0,"Check Amount",IF(ROUND($O47,2)&lt;=0,"Unpaid",IF(ROUND($O47-$N47,2)&gt;0,"Overpaid",IF(ROUND($P47,2)&lt;=0,"Paid","Partially Paid")))))</f>
        <v>Unpaid</v>
      </c>
      <c r="R47" s="52" t="n">
        <f aca="false">IF(OR($A47="",$M47=""),"",IF(ROUND($P47,2)&lt;=0,0,MAX(0,Settings!$C$5-$M47-Settings!$C$7)))</f>
        <v>46</v>
      </c>
      <c r="S47" s="50" t="n">
        <f aca="false">IF($A47="","",IF(N($R47)&gt;0,MAX($P47,0),0))</f>
        <v>1607.26</v>
      </c>
      <c r="T47" s="53" t="str">
        <f aca="false">IF($A47="","",IF(ROUND($P47,2)&lt;0,"Supplier Credit",IF(ROUND($P47,2)=0,"Closed",IF($M47="","No Due Date",IF(N($R47)&lt;=0,"Not Due Yet",IF(N($R47)&lt;=Settings!$C$8,"1-30 Days Overdue",IF(N($R47)&lt;=Settings!$C$9,"31-60 Days Overdue",IF(N($R47)&lt;=Settings!$C$10,"61-90 Days Overdue","90+ Days Overdue"))))))))</f>
        <v>31-60 Days Overdue</v>
      </c>
      <c r="U47" s="61" t="str">
        <f aca="false">IF($A47="","",IF(COUNTIFS('Payments Log'!$B$8:$B$207,$A47)=0,"",SUMPRODUCT(MAX(('Payments Log'!$B$8:$B$207=$A47)*'Payments Log'!$E$8:$E$207))))</f>
        <v/>
      </c>
      <c r="V47" s="53" t="str">
        <f aca="false">IF($A47="","",IF($J47="","Not Delivered",IF($I47="","No Target Date",IF($J47&lt;=$I47,"On Time","Late"))))</f>
        <v>On Time</v>
      </c>
      <c r="W47" s="53" t="str">
        <f aca="false">IF($A47="","",IF($X47="","OK","REVIEW"))</f>
        <v>OK</v>
      </c>
      <c r="X47" s="62" t="str">
        <f aca="false">IF($A47="","",TRIM(IF($B47="","Missing vendor ID. ","")&amp;IF($C47="NOT FOUND","Vendor ID not in Vendor Master. ","")&amp;IF(COUNTIFS('Invoice &amp; Delivery Log'!$A$8:$A$157,$A47)&gt;1,"Duplicate invoice ID. ","")&amp;IF(AND($D47&lt;&gt;"",COUNTIFS('Invoice &amp; Delivery Log'!$D$8:$D$157,$D47,'Invoice &amp; Delivery Log'!$B$8:$B$157,$B47)&gt;1),"Duplicate supplier invoice number. ","")&amp;IF($E47="","Missing PO number. ","")&amp;IF($H47="","Missing invoice date. ","")&amp;IF(N($N47)&lt;=0,"Invoice amount must be greater than zero. ","")&amp;IF(AND($H47&lt;&gt;"",$H47&gt;Settings!$C$5),"Invoice date is in the future. ","")&amp;IF(AND($K47="Received in Full",$J47=""),"Missing actual delivery date. ","")&amp;IF(ROUND(N($O47)-N($N47),2)&gt;0,"Payments exceed the invoice amount. ","")&amp;IF(AND($K47="Rejected",N($O47)&gt;0),"Payment made on a rejected delivery. ","")&amp;IF(AND($B47&lt;&gt;"",IFERROR(INDEX('Vendor Master'!$H$8:$H$47,MATCH($B47,'Vendor Master'!$A$8:$A$47,0)),"")="Inactive",ROUND(N($P47),2)&gt;0),"Open balance with an inactive vendor. ","")))</f>
        <v/>
      </c>
      <c r="Y47" s="53" t="str">
        <f aca="false">IF($A47="","",IF(ROUND($P47,2)&gt;0.004,"Yes","No"))</f>
        <v>Yes</v>
      </c>
      <c r="Z47" s="49" t="n">
        <f aca="false">IF(OR($Y47&lt;&gt;"Yes",$M47=""),"",COUNTIFS('Invoice &amp; Delivery Log'!$Y$8:$Y$157,"Yes",'Invoice &amp; Delivery Log'!$M$8:$M$157,"&lt;"&amp;$M47)+COUNTIFS('Invoice &amp; Delivery Log'!$Y$8:$Y$157,"Yes",'Invoice &amp; Delivery Log'!$M$8:$M$157,$M47,'Invoice &amp; Delivery Log'!$A$8:$A$157,"&lt;"&amp;$A47)+1)</f>
        <v>8</v>
      </c>
    </row>
    <row r="48" customFormat="false" ht="15" hidden="false" customHeight="true" outlineLevel="0" collapsed="false">
      <c r="A48" s="44" t="s">
        <v>378</v>
      </c>
      <c r="B48" s="44" t="s">
        <v>148</v>
      </c>
      <c r="C48" s="55" t="str">
        <f aca="false">IF($B48="","",IFERROR(INDEX('Vendor Master'!$B$8:$B$47,MATCH($B48,'Vendor Master'!$A$8:$A$47,0)),"NOT FOUND"))</f>
        <v>Cascade Foods Distribution</v>
      </c>
      <c r="D48" s="44" t="s">
        <v>379</v>
      </c>
      <c r="E48" s="45" t="s">
        <v>380</v>
      </c>
      <c r="F48" s="55" t="str">
        <f aca="false">IF($B48="","",IFERROR(INDEX('Vendor Master'!$C$8:$C$47,MATCH($B48,'Vendor Master'!$A$8:$A$47,0)),""))</f>
        <v>Food &amp; Beverage</v>
      </c>
      <c r="G48" s="45" t="s">
        <v>249</v>
      </c>
      <c r="H48" s="56" t="n">
        <v>46201</v>
      </c>
      <c r="I48" s="56" t="n">
        <v>46199</v>
      </c>
      <c r="J48" s="56" t="n">
        <v>46199</v>
      </c>
      <c r="K48" s="44" t="s">
        <v>237</v>
      </c>
      <c r="L48" s="57" t="n">
        <f aca="false">IF($B48="","",IFERROR(INDEX('Vendor Master'!$G$8:$G$47,MATCH($B48,'Vendor Master'!$A$8:$A$47,0)),""))</f>
        <v>15</v>
      </c>
      <c r="M48" s="37" t="n">
        <f aca="false">IF(OR($H48="",$L48=""),"",$H48+$L48)</f>
        <v>46216</v>
      </c>
      <c r="N48" s="58" t="n">
        <v>4690.66</v>
      </c>
      <c r="O48" s="30" t="n">
        <f aca="false">IF($A48="","",SUMIFS('Payments Log'!$F$8:$F$207,'Payments Log'!$B$8:$B$207,$A48))</f>
        <v>4690.66</v>
      </c>
      <c r="P48" s="30" t="n">
        <f aca="false">IF($A48="","",ROUND($N48-$O48,2))</f>
        <v>0</v>
      </c>
      <c r="Q48" s="36" t="str">
        <f aca="false">IF($A48="","",IF(N($N48)&lt;=0,"Check Amount",IF(ROUND($O48,2)&lt;=0,"Unpaid",IF(ROUND($O48-$N48,2)&gt;0,"Overpaid",IF(ROUND($P48,2)&lt;=0,"Paid","Partially Paid")))))</f>
        <v>Paid</v>
      </c>
      <c r="R48" s="47" t="n">
        <f aca="false">IF(OR($A48="",$M48=""),"",IF(ROUND($P48,2)&lt;=0,0,MAX(0,Settings!$C$5-$M48-Settings!$C$7)))</f>
        <v>0</v>
      </c>
      <c r="S48" s="30" t="n">
        <f aca="false">IF($A48="","",IF(N($R48)&gt;0,MAX($P48,0),0))</f>
        <v>0</v>
      </c>
      <c r="T48" s="36" t="str">
        <f aca="false">IF($A48="","",IF(ROUND($P48,2)&lt;0,"Supplier Credit",IF(ROUND($P48,2)=0,"Closed",IF($M48="","No Due Date",IF(N($R48)&lt;=0,"Not Due Yet",IF(N($R48)&lt;=Settings!$C$8,"1-30 Days Overdue",IF(N($R48)&lt;=Settings!$C$9,"31-60 Days Overdue",IF(N($R48)&lt;=Settings!$C$10,"61-90 Days Overdue","90+ Days Overdue"))))))))</f>
        <v>Closed</v>
      </c>
      <c r="U48" s="37" t="n">
        <f aca="false">IF($A48="","",IF(COUNTIFS('Payments Log'!$B$8:$B$207,$A48)=0,"",SUMPRODUCT(MAX(('Payments Log'!$B$8:$B$207=$A48)*'Payments Log'!$E$8:$E$207))))</f>
        <v>46207</v>
      </c>
      <c r="V48" s="36" t="str">
        <f aca="false">IF($A48="","",IF($J48="","Not Delivered",IF($I48="","No Target Date",IF($J48&lt;=$I48,"On Time","Late"))))</f>
        <v>On Time</v>
      </c>
      <c r="W48" s="36" t="str">
        <f aca="false">IF($A48="","",IF($X48="","OK","REVIEW"))</f>
        <v>OK</v>
      </c>
      <c r="X48" s="28" t="str">
        <f aca="false">IF($A48="","",TRIM(IF($B48="","Missing vendor ID. ","")&amp;IF($C48="NOT FOUND","Vendor ID not in Vendor Master. ","")&amp;IF(COUNTIFS('Invoice &amp; Delivery Log'!$A$8:$A$157,$A48)&gt;1,"Duplicate invoice ID. ","")&amp;IF(AND($D48&lt;&gt;"",COUNTIFS('Invoice &amp; Delivery Log'!$D$8:$D$157,$D48,'Invoice &amp; Delivery Log'!$B$8:$B$157,$B48)&gt;1),"Duplicate supplier invoice number. ","")&amp;IF($E48="","Missing PO number. ","")&amp;IF($H48="","Missing invoice date. ","")&amp;IF(N($N48)&lt;=0,"Invoice amount must be greater than zero. ","")&amp;IF(AND($H48&lt;&gt;"",$H48&gt;Settings!$C$5),"Invoice date is in the future. ","")&amp;IF(AND($K48="Received in Full",$J48=""),"Missing actual delivery date. ","")&amp;IF(ROUND(N($O48)-N($N48),2)&gt;0,"Payments exceed the invoice amount. ","")&amp;IF(AND($K48="Rejected",N($O48)&gt;0),"Payment made on a rejected delivery. ","")&amp;IF(AND($B48&lt;&gt;"",IFERROR(INDEX('Vendor Master'!$H$8:$H$47,MATCH($B48,'Vendor Master'!$A$8:$A$47,0)),"")="Inactive",ROUND(N($P48),2)&gt;0),"Open balance with an inactive vendor. ","")))</f>
        <v/>
      </c>
      <c r="Y48" s="36" t="str">
        <f aca="false">IF($A48="","",IF(ROUND($P48,2)&gt;0.004,"Yes","No"))</f>
        <v>No</v>
      </c>
      <c r="Z48" s="29" t="str">
        <f aca="false">IF(OR($Y48&lt;&gt;"Yes",$M48=""),"",COUNTIFS('Invoice &amp; Delivery Log'!$Y$8:$Y$157,"Yes",'Invoice &amp; Delivery Log'!$M$8:$M$157,"&lt;"&amp;$M48)+COUNTIFS('Invoice &amp; Delivery Log'!$Y$8:$Y$157,"Yes",'Invoice &amp; Delivery Log'!$M$8:$M$157,$M48,'Invoice &amp; Delivery Log'!$A$8:$A$157,"&lt;"&amp;$A48)+1)</f>
        <v/>
      </c>
    </row>
    <row r="49" customFormat="false" ht="15" hidden="false" customHeight="true" outlineLevel="0" collapsed="false">
      <c r="A49" s="44" t="s">
        <v>381</v>
      </c>
      <c r="B49" s="44" t="s">
        <v>148</v>
      </c>
      <c r="C49" s="59" t="str">
        <f aca="false">IF($B49="","",IFERROR(INDEX('Vendor Master'!$B$8:$B$47,MATCH($B49,'Vendor Master'!$A$8:$A$47,0)),"NOT FOUND"))</f>
        <v>Cascade Foods Distribution</v>
      </c>
      <c r="D49" s="44" t="s">
        <v>382</v>
      </c>
      <c r="E49" s="45" t="s">
        <v>383</v>
      </c>
      <c r="F49" s="59" t="str">
        <f aca="false">IF($B49="","",IFERROR(INDEX('Vendor Master'!$C$8:$C$47,MATCH($B49,'Vendor Master'!$A$8:$A$47,0)),""))</f>
        <v>Food &amp; Beverage</v>
      </c>
      <c r="G49" s="45" t="s">
        <v>384</v>
      </c>
      <c r="H49" s="56" t="n">
        <v>46201</v>
      </c>
      <c r="I49" s="56" t="n">
        <v>46199</v>
      </c>
      <c r="J49" s="56" t="n">
        <v>46199</v>
      </c>
      <c r="K49" s="44" t="s">
        <v>237</v>
      </c>
      <c r="L49" s="60" t="n">
        <f aca="false">IF($B49="","",IFERROR(INDEX('Vendor Master'!$G$8:$G$47,MATCH($B49,'Vendor Master'!$A$8:$A$47,0)),""))</f>
        <v>15</v>
      </c>
      <c r="M49" s="61" t="n">
        <f aca="false">IF(OR($H49="",$L49=""),"",$H49+$L49)</f>
        <v>46216</v>
      </c>
      <c r="N49" s="58" t="n">
        <v>3291.74</v>
      </c>
      <c r="O49" s="50" t="n">
        <f aca="false">IF($A49="","",SUMIFS('Payments Log'!$F$8:$F$207,'Payments Log'!$B$8:$B$207,$A49))</f>
        <v>3291.74</v>
      </c>
      <c r="P49" s="50" t="n">
        <f aca="false">IF($A49="","",ROUND($N49-$O49,2))</f>
        <v>0</v>
      </c>
      <c r="Q49" s="53" t="str">
        <f aca="false">IF($A49="","",IF(N($N49)&lt;=0,"Check Amount",IF(ROUND($O49,2)&lt;=0,"Unpaid",IF(ROUND($O49-$N49,2)&gt;0,"Overpaid",IF(ROUND($P49,2)&lt;=0,"Paid","Partially Paid")))))</f>
        <v>Paid</v>
      </c>
      <c r="R49" s="52" t="n">
        <f aca="false">IF(OR($A49="",$M49=""),"",IF(ROUND($P49,2)&lt;=0,0,MAX(0,Settings!$C$5-$M49-Settings!$C$7)))</f>
        <v>0</v>
      </c>
      <c r="S49" s="50" t="n">
        <f aca="false">IF($A49="","",IF(N($R49)&gt;0,MAX($P49,0),0))</f>
        <v>0</v>
      </c>
      <c r="T49" s="53" t="str">
        <f aca="false">IF($A49="","",IF(ROUND($P49,2)&lt;0,"Supplier Credit",IF(ROUND($P49,2)=0,"Closed",IF($M49="","No Due Date",IF(N($R49)&lt;=0,"Not Due Yet",IF(N($R49)&lt;=Settings!$C$8,"1-30 Days Overdue",IF(N($R49)&lt;=Settings!$C$9,"31-60 Days Overdue",IF(N($R49)&lt;=Settings!$C$10,"61-90 Days Overdue","90+ Days Overdue"))))))))</f>
        <v>Closed</v>
      </c>
      <c r="U49" s="61" t="n">
        <f aca="false">IF($A49="","",IF(COUNTIFS('Payments Log'!$B$8:$B$207,$A49)=0,"",SUMPRODUCT(MAX(('Payments Log'!$B$8:$B$207=$A49)*'Payments Log'!$E$8:$E$207))))</f>
        <v>46213</v>
      </c>
      <c r="V49" s="53" t="str">
        <f aca="false">IF($A49="","",IF($J49="","Not Delivered",IF($I49="","No Target Date",IF($J49&lt;=$I49,"On Time","Late"))))</f>
        <v>On Time</v>
      </c>
      <c r="W49" s="53" t="str">
        <f aca="false">IF($A49="","",IF($X49="","OK","REVIEW"))</f>
        <v>OK</v>
      </c>
      <c r="X49" s="62" t="str">
        <f aca="false">IF($A49="","",TRIM(IF($B49="","Missing vendor ID. ","")&amp;IF($C49="NOT FOUND","Vendor ID not in Vendor Master. ","")&amp;IF(COUNTIFS('Invoice &amp; Delivery Log'!$A$8:$A$157,$A49)&gt;1,"Duplicate invoice ID. ","")&amp;IF(AND($D49&lt;&gt;"",COUNTIFS('Invoice &amp; Delivery Log'!$D$8:$D$157,$D49,'Invoice &amp; Delivery Log'!$B$8:$B$157,$B49)&gt;1),"Duplicate supplier invoice number. ","")&amp;IF($E49="","Missing PO number. ","")&amp;IF($H49="","Missing invoice date. ","")&amp;IF(N($N49)&lt;=0,"Invoice amount must be greater than zero. ","")&amp;IF(AND($H49&lt;&gt;"",$H49&gt;Settings!$C$5),"Invoice date is in the future. ","")&amp;IF(AND($K49="Received in Full",$J49=""),"Missing actual delivery date. ","")&amp;IF(ROUND(N($O49)-N($N49),2)&gt;0,"Payments exceed the invoice amount. ","")&amp;IF(AND($K49="Rejected",N($O49)&gt;0),"Payment made on a rejected delivery. ","")&amp;IF(AND($B49&lt;&gt;"",IFERROR(INDEX('Vendor Master'!$H$8:$H$47,MATCH($B49,'Vendor Master'!$A$8:$A$47,0)),"")="Inactive",ROUND(N($P49),2)&gt;0),"Open balance with an inactive vendor. ","")))</f>
        <v/>
      </c>
      <c r="Y49" s="53" t="str">
        <f aca="false">IF($A49="","",IF(ROUND($P49,2)&gt;0.004,"Yes","No"))</f>
        <v>No</v>
      </c>
      <c r="Z49" s="49" t="str">
        <f aca="false">IF(OR($Y49&lt;&gt;"Yes",$M49=""),"",COUNTIFS('Invoice &amp; Delivery Log'!$Y$8:$Y$157,"Yes",'Invoice &amp; Delivery Log'!$M$8:$M$157,"&lt;"&amp;$M49)+COUNTIFS('Invoice &amp; Delivery Log'!$Y$8:$Y$157,"Yes",'Invoice &amp; Delivery Log'!$M$8:$M$157,$M49,'Invoice &amp; Delivery Log'!$A$8:$A$157,"&lt;"&amp;$A49)+1)</f>
        <v/>
      </c>
    </row>
    <row r="50" customFormat="false" ht="15" hidden="false" customHeight="true" outlineLevel="0" collapsed="false">
      <c r="A50" s="44" t="s">
        <v>385</v>
      </c>
      <c r="B50" s="44" t="s">
        <v>190</v>
      </c>
      <c r="C50" s="55" t="str">
        <f aca="false">IF($B50="","",IFERROR(INDEX('Vendor Master'!$B$8:$B$47,MATCH($B50,'Vendor Master'!$A$8:$A$47,0)),"NOT FOUND"))</f>
        <v>Vertex IT Solutions</v>
      </c>
      <c r="D50" s="44" t="s">
        <v>386</v>
      </c>
      <c r="E50" s="45" t="s">
        <v>387</v>
      </c>
      <c r="F50" s="55" t="str">
        <f aca="false">IF($B50="","",IFERROR(INDEX('Vendor Master'!$C$8:$C$47,MATCH($B50,'Vendor Master'!$A$8:$A$47,0)),""))</f>
        <v>IT &amp; Software</v>
      </c>
      <c r="G50" s="45" t="s">
        <v>285</v>
      </c>
      <c r="H50" s="56" t="n">
        <v>46210</v>
      </c>
      <c r="I50" s="56" t="n">
        <v>46208</v>
      </c>
      <c r="J50" s="56" t="n">
        <v>46208</v>
      </c>
      <c r="K50" s="44" t="s">
        <v>237</v>
      </c>
      <c r="L50" s="57" t="n">
        <f aca="false">IF($B50="","",IFERROR(INDEX('Vendor Master'!$G$8:$G$47,MATCH($B50,'Vendor Master'!$A$8:$A$47,0)),""))</f>
        <v>30</v>
      </c>
      <c r="M50" s="37" t="n">
        <f aca="false">IF(OR($H50="",$L50=""),"",$H50+$L50)</f>
        <v>46240</v>
      </c>
      <c r="N50" s="58" t="n">
        <v>1712.32</v>
      </c>
      <c r="O50" s="30" t="n">
        <f aca="false">IF($A50="","",SUMIFS('Payments Log'!$F$8:$F$207,'Payments Log'!$B$8:$B$207,$A50))</f>
        <v>847.45</v>
      </c>
      <c r="P50" s="30" t="n">
        <f aca="false">IF($A50="","",ROUND($N50-$O50,2))</f>
        <v>864.87</v>
      </c>
      <c r="Q50" s="36" t="str">
        <f aca="false">IF($A50="","",IF(N($N50)&lt;=0,"Check Amount",IF(ROUND($O50,2)&lt;=0,"Unpaid",IF(ROUND($O50-$N50,2)&gt;0,"Overpaid",IF(ROUND($P50,2)&lt;=0,"Paid","Partially Paid")))))</f>
        <v>Partially Paid</v>
      </c>
      <c r="R50" s="47" t="n">
        <f aca="false">IF(OR($A50="",$M50=""),"",IF(ROUND($P50,2)&lt;=0,0,MAX(0,Settings!$C$5-$M50-Settings!$C$7)))</f>
        <v>32</v>
      </c>
      <c r="S50" s="30" t="n">
        <f aca="false">IF($A50="","",IF(N($R50)&gt;0,MAX($P50,0),0))</f>
        <v>864.87</v>
      </c>
      <c r="T50" s="36" t="str">
        <f aca="false">IF($A50="","",IF(ROUND($P50,2)&lt;0,"Supplier Credit",IF(ROUND($P50,2)=0,"Closed",IF($M50="","No Due Date",IF(N($R50)&lt;=0,"Not Due Yet",IF(N($R50)&lt;=Settings!$C$8,"1-30 Days Overdue",IF(N($R50)&lt;=Settings!$C$9,"31-60 Days Overdue",IF(N($R50)&lt;=Settings!$C$10,"61-90 Days Overdue","90+ Days Overdue"))))))))</f>
        <v>31-60 Days Overdue</v>
      </c>
      <c r="U50" s="37" t="n">
        <f aca="false">IF($A50="","",IF(COUNTIFS('Payments Log'!$B$8:$B$207,$A50)=0,"",SUMPRODUCT(MAX(('Payments Log'!$B$8:$B$207=$A50)*'Payments Log'!$E$8:$E$207))))</f>
        <v>46219</v>
      </c>
      <c r="V50" s="36" t="str">
        <f aca="false">IF($A50="","",IF($J50="","Not Delivered",IF($I50="","No Target Date",IF($J50&lt;=$I50,"On Time","Late"))))</f>
        <v>On Time</v>
      </c>
      <c r="W50" s="36" t="str">
        <f aca="false">IF($A50="","",IF($X50="","OK","REVIEW"))</f>
        <v>OK</v>
      </c>
      <c r="X50" s="28" t="str">
        <f aca="false">IF($A50="","",TRIM(IF($B50="","Missing vendor ID. ","")&amp;IF($C50="NOT FOUND","Vendor ID not in Vendor Master. ","")&amp;IF(COUNTIFS('Invoice &amp; Delivery Log'!$A$8:$A$157,$A50)&gt;1,"Duplicate invoice ID. ","")&amp;IF(AND($D50&lt;&gt;"",COUNTIFS('Invoice &amp; Delivery Log'!$D$8:$D$157,$D50,'Invoice &amp; Delivery Log'!$B$8:$B$157,$B50)&gt;1),"Duplicate supplier invoice number. ","")&amp;IF($E50="","Missing PO number. ","")&amp;IF($H50="","Missing invoice date. ","")&amp;IF(N($N50)&lt;=0,"Invoice amount must be greater than zero. ","")&amp;IF(AND($H50&lt;&gt;"",$H50&gt;Settings!$C$5),"Invoice date is in the future. ","")&amp;IF(AND($K50="Received in Full",$J50=""),"Missing actual delivery date. ","")&amp;IF(ROUND(N($O50)-N($N50),2)&gt;0,"Payments exceed the invoice amount. ","")&amp;IF(AND($K50="Rejected",N($O50)&gt;0),"Payment made on a rejected delivery. ","")&amp;IF(AND($B50&lt;&gt;"",IFERROR(INDEX('Vendor Master'!$H$8:$H$47,MATCH($B50,'Vendor Master'!$A$8:$A$47,0)),"")="Inactive",ROUND(N($P50),2)&gt;0),"Open balance with an inactive vendor. ","")))</f>
        <v/>
      </c>
      <c r="Y50" s="36" t="str">
        <f aca="false">IF($A50="","",IF(ROUND($P50,2)&gt;0.004,"Yes","No"))</f>
        <v>Yes</v>
      </c>
      <c r="Z50" s="29" t="n">
        <f aca="false">IF(OR($Y50&lt;&gt;"Yes",$M50=""),"",COUNTIFS('Invoice &amp; Delivery Log'!$Y$8:$Y$157,"Yes",'Invoice &amp; Delivery Log'!$M$8:$M$157,"&lt;"&amp;$M50)+COUNTIFS('Invoice &amp; Delivery Log'!$Y$8:$Y$157,"Yes",'Invoice &amp; Delivery Log'!$M$8:$M$157,$M50,'Invoice &amp; Delivery Log'!$A$8:$A$157,"&lt;"&amp;$A50)+1)</f>
        <v>10</v>
      </c>
    </row>
    <row r="51" customFormat="false" ht="15" hidden="false" customHeight="true" outlineLevel="0" collapsed="false">
      <c r="A51" s="44" t="s">
        <v>388</v>
      </c>
      <c r="B51" s="44" t="s">
        <v>141</v>
      </c>
      <c r="C51" s="59" t="str">
        <f aca="false">IF($B51="","",IFERROR(INDEX('Vendor Master'!$B$8:$B$47,MATCH($B51,'Vendor Master'!$A$8:$A$47,0)),"NOT FOUND"))</f>
        <v>Northwind Paper Supply</v>
      </c>
      <c r="D51" s="44" t="s">
        <v>389</v>
      </c>
      <c r="E51" s="45" t="s">
        <v>390</v>
      </c>
      <c r="F51" s="59" t="str">
        <f aca="false">IF($B51="","",IFERROR(INDEX('Vendor Master'!$C$8:$C$47,MATCH($B51,'Vendor Master'!$A$8:$A$47,0)),""))</f>
        <v>Office Supplies</v>
      </c>
      <c r="G51" s="45" t="s">
        <v>265</v>
      </c>
      <c r="H51" s="56" t="n">
        <v>46210</v>
      </c>
      <c r="I51" s="56" t="n">
        <v>46209</v>
      </c>
      <c r="J51" s="56" t="n">
        <v>46209</v>
      </c>
      <c r="K51" s="44" t="s">
        <v>237</v>
      </c>
      <c r="L51" s="60" t="n">
        <f aca="false">IF($B51="","",IFERROR(INDEX('Vendor Master'!$G$8:$G$47,MATCH($B51,'Vendor Master'!$A$8:$A$47,0)),""))</f>
        <v>30</v>
      </c>
      <c r="M51" s="61" t="n">
        <f aca="false">IF(OR($H51="",$L51=""),"",$H51+$L51)</f>
        <v>46240</v>
      </c>
      <c r="N51" s="58" t="n">
        <v>1001.41</v>
      </c>
      <c r="O51" s="50" t="n">
        <f aca="false">IF($A51="","",SUMIFS('Payments Log'!$F$8:$F$207,'Payments Log'!$B$8:$B$207,$A51))</f>
        <v>1001.41</v>
      </c>
      <c r="P51" s="50" t="n">
        <f aca="false">IF($A51="","",ROUND($N51-$O51,2))</f>
        <v>0</v>
      </c>
      <c r="Q51" s="53" t="str">
        <f aca="false">IF($A51="","",IF(N($N51)&lt;=0,"Check Amount",IF(ROUND($O51,2)&lt;=0,"Unpaid",IF(ROUND($O51-$N51,2)&gt;0,"Overpaid",IF(ROUND($P51,2)&lt;=0,"Paid","Partially Paid")))))</f>
        <v>Paid</v>
      </c>
      <c r="R51" s="52" t="n">
        <f aca="false">IF(OR($A51="",$M51=""),"",IF(ROUND($P51,2)&lt;=0,0,MAX(0,Settings!$C$5-$M51-Settings!$C$7)))</f>
        <v>0</v>
      </c>
      <c r="S51" s="50" t="n">
        <f aca="false">IF($A51="","",IF(N($R51)&gt;0,MAX($P51,0),0))</f>
        <v>0</v>
      </c>
      <c r="T51" s="53" t="str">
        <f aca="false">IF($A51="","",IF(ROUND($P51,2)&lt;0,"Supplier Credit",IF(ROUND($P51,2)=0,"Closed",IF($M51="","No Due Date",IF(N($R51)&lt;=0,"Not Due Yet",IF(N($R51)&lt;=Settings!$C$8,"1-30 Days Overdue",IF(N($R51)&lt;=Settings!$C$9,"31-60 Days Overdue",IF(N($R51)&lt;=Settings!$C$10,"61-90 Days Overdue","90+ Days Overdue"))))))))</f>
        <v>Closed</v>
      </c>
      <c r="U51" s="61" t="n">
        <f aca="false">IF($A51="","",IF(COUNTIFS('Payments Log'!$B$8:$B$207,$A51)=0,"",SUMPRODUCT(MAX(('Payments Log'!$B$8:$B$207=$A51)*'Payments Log'!$E$8:$E$207))))</f>
        <v>46217</v>
      </c>
      <c r="V51" s="53" t="str">
        <f aca="false">IF($A51="","",IF($J51="","Not Delivered",IF($I51="","No Target Date",IF($J51&lt;=$I51,"On Time","Late"))))</f>
        <v>On Time</v>
      </c>
      <c r="W51" s="53" t="str">
        <f aca="false">IF($A51="","",IF($X51="","OK","REVIEW"))</f>
        <v>OK</v>
      </c>
      <c r="X51" s="62" t="str">
        <f aca="false">IF($A51="","",TRIM(IF($B51="","Missing vendor ID. ","")&amp;IF($C51="NOT FOUND","Vendor ID not in Vendor Master. ","")&amp;IF(COUNTIFS('Invoice &amp; Delivery Log'!$A$8:$A$157,$A51)&gt;1,"Duplicate invoice ID. ","")&amp;IF(AND($D51&lt;&gt;"",COUNTIFS('Invoice &amp; Delivery Log'!$D$8:$D$157,$D51,'Invoice &amp; Delivery Log'!$B$8:$B$157,$B51)&gt;1),"Duplicate supplier invoice number. ","")&amp;IF($E51="","Missing PO number. ","")&amp;IF($H51="","Missing invoice date. ","")&amp;IF(N($N51)&lt;=0,"Invoice amount must be greater than zero. ","")&amp;IF(AND($H51&lt;&gt;"",$H51&gt;Settings!$C$5),"Invoice date is in the future. ","")&amp;IF(AND($K51="Received in Full",$J51=""),"Missing actual delivery date. ","")&amp;IF(ROUND(N($O51)-N($N51),2)&gt;0,"Payments exceed the invoice amount. ","")&amp;IF(AND($K51="Rejected",N($O51)&gt;0),"Payment made on a rejected delivery. ","")&amp;IF(AND($B51&lt;&gt;"",IFERROR(INDEX('Vendor Master'!$H$8:$H$47,MATCH($B51,'Vendor Master'!$A$8:$A$47,0)),"")="Inactive",ROUND(N($P51),2)&gt;0),"Open balance with an inactive vendor. ","")))</f>
        <v/>
      </c>
      <c r="Y51" s="53" t="str">
        <f aca="false">IF($A51="","",IF(ROUND($P51,2)&gt;0.004,"Yes","No"))</f>
        <v>No</v>
      </c>
      <c r="Z51" s="49" t="str">
        <f aca="false">IF(OR($Y51&lt;&gt;"Yes",$M51=""),"",COUNTIFS('Invoice &amp; Delivery Log'!$Y$8:$Y$157,"Yes",'Invoice &amp; Delivery Log'!$M$8:$M$157,"&lt;"&amp;$M51)+COUNTIFS('Invoice &amp; Delivery Log'!$Y$8:$Y$157,"Yes",'Invoice &amp; Delivery Log'!$M$8:$M$157,$M51,'Invoice &amp; Delivery Log'!$A$8:$A$157,"&lt;"&amp;$A51)+1)</f>
        <v/>
      </c>
    </row>
    <row r="52" customFormat="false" ht="15" hidden="false" customHeight="true" outlineLevel="0" collapsed="false">
      <c r="A52" s="44" t="s">
        <v>391</v>
      </c>
      <c r="B52" s="44" t="s">
        <v>148</v>
      </c>
      <c r="C52" s="55" t="str">
        <f aca="false">IF($B52="","",IFERROR(INDEX('Vendor Master'!$B$8:$B$47,MATCH($B52,'Vendor Master'!$A$8:$A$47,0)),"NOT FOUND"))</f>
        <v>Cascade Foods Distribution</v>
      </c>
      <c r="D52" s="44" t="s">
        <v>392</v>
      </c>
      <c r="E52" s="45" t="s">
        <v>393</v>
      </c>
      <c r="F52" s="55" t="str">
        <f aca="false">IF($B52="","",IFERROR(INDEX('Vendor Master'!$C$8:$C$47,MATCH($B52,'Vendor Master'!$A$8:$A$47,0)),""))</f>
        <v>Food &amp; Beverage</v>
      </c>
      <c r="G52" s="45" t="s">
        <v>249</v>
      </c>
      <c r="H52" s="56" t="n">
        <v>46212</v>
      </c>
      <c r="I52" s="56" t="n">
        <v>46210</v>
      </c>
      <c r="J52" s="56" t="n">
        <v>46210</v>
      </c>
      <c r="K52" s="44" t="s">
        <v>274</v>
      </c>
      <c r="L52" s="57" t="n">
        <f aca="false">IF($B52="","",IFERROR(INDEX('Vendor Master'!$G$8:$G$47,MATCH($B52,'Vendor Master'!$A$8:$A$47,0)),""))</f>
        <v>15</v>
      </c>
      <c r="M52" s="37" t="n">
        <f aca="false">IF(OR($H52="",$L52=""),"",$H52+$L52)</f>
        <v>46227</v>
      </c>
      <c r="N52" s="58" t="n">
        <v>1278.49</v>
      </c>
      <c r="O52" s="30" t="n">
        <f aca="false">IF($A52="","",SUMIFS('Payments Log'!$F$8:$F$207,'Payments Log'!$B$8:$B$207,$A52))</f>
        <v>0</v>
      </c>
      <c r="P52" s="30" t="n">
        <f aca="false">IF($A52="","",ROUND($N52-$O52,2))</f>
        <v>1278.49</v>
      </c>
      <c r="Q52" s="36" t="str">
        <f aca="false">IF($A52="","",IF(N($N52)&lt;=0,"Check Amount",IF(ROUND($O52,2)&lt;=0,"Unpaid",IF(ROUND($O52-$N52,2)&gt;0,"Overpaid",IF(ROUND($P52,2)&lt;=0,"Paid","Partially Paid")))))</f>
        <v>Unpaid</v>
      </c>
      <c r="R52" s="47" t="n">
        <f aca="false">IF(OR($A52="",$M52=""),"",IF(ROUND($P52,2)&lt;=0,0,MAX(0,Settings!$C$5-$M52-Settings!$C$7)))</f>
        <v>45</v>
      </c>
      <c r="S52" s="30" t="n">
        <f aca="false">IF($A52="","",IF(N($R52)&gt;0,MAX($P52,0),0))</f>
        <v>1278.49</v>
      </c>
      <c r="T52" s="36" t="str">
        <f aca="false">IF($A52="","",IF(ROUND($P52,2)&lt;0,"Supplier Credit",IF(ROUND($P52,2)=0,"Closed",IF($M52="","No Due Date",IF(N($R52)&lt;=0,"Not Due Yet",IF(N($R52)&lt;=Settings!$C$8,"1-30 Days Overdue",IF(N($R52)&lt;=Settings!$C$9,"31-60 Days Overdue",IF(N($R52)&lt;=Settings!$C$10,"61-90 Days Overdue","90+ Days Overdue"))))))))</f>
        <v>31-60 Days Overdue</v>
      </c>
      <c r="U52" s="37" t="str">
        <f aca="false">IF($A52="","",IF(COUNTIFS('Payments Log'!$B$8:$B$207,$A52)=0,"",SUMPRODUCT(MAX(('Payments Log'!$B$8:$B$207=$A52)*'Payments Log'!$E$8:$E$207))))</f>
        <v/>
      </c>
      <c r="V52" s="36" t="str">
        <f aca="false">IF($A52="","",IF($J52="","Not Delivered",IF($I52="","No Target Date",IF($J52&lt;=$I52,"On Time","Late"))))</f>
        <v>On Time</v>
      </c>
      <c r="W52" s="36" t="str">
        <f aca="false">IF($A52="","",IF($X52="","OK","REVIEW"))</f>
        <v>OK</v>
      </c>
      <c r="X52" s="28" t="str">
        <f aca="false">IF($A52="","",TRIM(IF($B52="","Missing vendor ID. ","")&amp;IF($C52="NOT FOUND","Vendor ID not in Vendor Master. ","")&amp;IF(COUNTIFS('Invoice &amp; Delivery Log'!$A$8:$A$157,$A52)&gt;1,"Duplicate invoice ID. ","")&amp;IF(AND($D52&lt;&gt;"",COUNTIFS('Invoice &amp; Delivery Log'!$D$8:$D$157,$D52,'Invoice &amp; Delivery Log'!$B$8:$B$157,$B52)&gt;1),"Duplicate supplier invoice number. ","")&amp;IF($E52="","Missing PO number. ","")&amp;IF($H52="","Missing invoice date. ","")&amp;IF(N($N52)&lt;=0,"Invoice amount must be greater than zero. ","")&amp;IF(AND($H52&lt;&gt;"",$H52&gt;Settings!$C$5),"Invoice date is in the future. ","")&amp;IF(AND($K52="Received in Full",$J52=""),"Missing actual delivery date. ","")&amp;IF(ROUND(N($O52)-N($N52),2)&gt;0,"Payments exceed the invoice amount. ","")&amp;IF(AND($K52="Rejected",N($O52)&gt;0),"Payment made on a rejected delivery. ","")&amp;IF(AND($B52&lt;&gt;"",IFERROR(INDEX('Vendor Master'!$H$8:$H$47,MATCH($B52,'Vendor Master'!$A$8:$A$47,0)),"")="Inactive",ROUND(N($P52),2)&gt;0),"Open balance with an inactive vendor. ","")))</f>
        <v/>
      </c>
      <c r="Y52" s="36" t="str">
        <f aca="false">IF($A52="","",IF(ROUND($P52,2)&gt;0.004,"Yes","No"))</f>
        <v>Yes</v>
      </c>
      <c r="Z52" s="29" t="n">
        <f aca="false">IF(OR($Y52&lt;&gt;"Yes",$M52=""),"",COUNTIFS('Invoice &amp; Delivery Log'!$Y$8:$Y$157,"Yes",'Invoice &amp; Delivery Log'!$M$8:$M$157,"&lt;"&amp;$M52)+COUNTIFS('Invoice &amp; Delivery Log'!$Y$8:$Y$157,"Yes",'Invoice &amp; Delivery Log'!$M$8:$M$157,$M52,'Invoice &amp; Delivery Log'!$A$8:$A$157,"&lt;"&amp;$A52)+1)</f>
        <v>9</v>
      </c>
    </row>
    <row r="53" customFormat="false" ht="15" hidden="false" customHeight="true" outlineLevel="0" collapsed="false">
      <c r="A53" s="44" t="s">
        <v>394</v>
      </c>
      <c r="B53" s="44" t="s">
        <v>202</v>
      </c>
      <c r="C53" s="59" t="str">
        <f aca="false">IF($B53="","",IFERROR(INDEX('Vendor Master'!$B$8:$B$47,MATCH($B53,'Vendor Master'!$A$8:$A$47,0)),"NOT FOUND"))</f>
        <v>Redstone Safety Equipment</v>
      </c>
      <c r="D53" s="44" t="s">
        <v>395</v>
      </c>
      <c r="E53" s="45" t="s">
        <v>396</v>
      </c>
      <c r="F53" s="59" t="str">
        <f aca="false">IF($B53="","",IFERROR(INDEX('Vendor Master'!$C$8:$C$47,MATCH($B53,'Vendor Master'!$A$8:$A$47,0)),""))</f>
        <v>Safety &amp; PPE</v>
      </c>
      <c r="G53" s="45" t="s">
        <v>397</v>
      </c>
      <c r="H53" s="56" t="n">
        <v>46215</v>
      </c>
      <c r="I53" s="56" t="n">
        <v>46215</v>
      </c>
      <c r="J53" s="56" t="n">
        <v>46214</v>
      </c>
      <c r="K53" s="44" t="s">
        <v>237</v>
      </c>
      <c r="L53" s="60" t="n">
        <f aca="false">IF($B53="","",IFERROR(INDEX('Vendor Master'!$G$8:$G$47,MATCH($B53,'Vendor Master'!$A$8:$A$47,0)),""))</f>
        <v>30</v>
      </c>
      <c r="M53" s="61" t="n">
        <f aca="false">IF(OR($H53="",$L53=""),"",$H53+$L53)</f>
        <v>46245</v>
      </c>
      <c r="N53" s="58" t="n">
        <v>2761.28</v>
      </c>
      <c r="O53" s="50" t="n">
        <f aca="false">IF($A53="","",SUMIFS('Payments Log'!$F$8:$F$207,'Payments Log'!$B$8:$B$207,$A53))</f>
        <v>0</v>
      </c>
      <c r="P53" s="50" t="n">
        <f aca="false">IF($A53="","",ROUND($N53-$O53,2))</f>
        <v>2761.28</v>
      </c>
      <c r="Q53" s="53" t="str">
        <f aca="false">IF($A53="","",IF(N($N53)&lt;=0,"Check Amount",IF(ROUND($O53,2)&lt;=0,"Unpaid",IF(ROUND($O53-$N53,2)&gt;0,"Overpaid",IF(ROUND($P53,2)&lt;=0,"Paid","Partially Paid")))))</f>
        <v>Unpaid</v>
      </c>
      <c r="R53" s="52" t="n">
        <f aca="false">IF(OR($A53="",$M53=""),"",IF(ROUND($P53,2)&lt;=0,0,MAX(0,Settings!$C$5-$M53-Settings!$C$7)))</f>
        <v>27</v>
      </c>
      <c r="S53" s="50" t="n">
        <f aca="false">IF($A53="","",IF(N($R53)&gt;0,MAX($P53,0),0))</f>
        <v>2761.28</v>
      </c>
      <c r="T53" s="53" t="str">
        <f aca="false">IF($A53="","",IF(ROUND($P53,2)&lt;0,"Supplier Credit",IF(ROUND($P53,2)=0,"Closed",IF($M53="","No Due Date",IF(N($R53)&lt;=0,"Not Due Yet",IF(N($R53)&lt;=Settings!$C$8,"1-30 Days Overdue",IF(N($R53)&lt;=Settings!$C$9,"31-60 Days Overdue",IF(N($R53)&lt;=Settings!$C$10,"61-90 Days Overdue","90+ Days Overdue"))))))))</f>
        <v>1-30 Days Overdue</v>
      </c>
      <c r="U53" s="61" t="str">
        <f aca="false">IF($A53="","",IF(COUNTIFS('Payments Log'!$B$8:$B$207,$A53)=0,"",SUMPRODUCT(MAX(('Payments Log'!$B$8:$B$207=$A53)*'Payments Log'!$E$8:$E$207))))</f>
        <v/>
      </c>
      <c r="V53" s="53" t="str">
        <f aca="false">IF($A53="","",IF($J53="","Not Delivered",IF($I53="","No Target Date",IF($J53&lt;=$I53,"On Time","Late"))))</f>
        <v>On Time</v>
      </c>
      <c r="W53" s="53" t="str">
        <f aca="false">IF($A53="","",IF($X53="","OK","REVIEW"))</f>
        <v>OK</v>
      </c>
      <c r="X53" s="62" t="str">
        <f aca="false">IF($A53="","",TRIM(IF($B53="","Missing vendor ID. ","")&amp;IF($C53="NOT FOUND","Vendor ID not in Vendor Master. ","")&amp;IF(COUNTIFS('Invoice &amp; Delivery Log'!$A$8:$A$157,$A53)&gt;1,"Duplicate invoice ID. ","")&amp;IF(AND($D53&lt;&gt;"",COUNTIFS('Invoice &amp; Delivery Log'!$D$8:$D$157,$D53,'Invoice &amp; Delivery Log'!$B$8:$B$157,$B53)&gt;1),"Duplicate supplier invoice number. ","")&amp;IF($E53="","Missing PO number. ","")&amp;IF($H53="","Missing invoice date. ","")&amp;IF(N($N53)&lt;=0,"Invoice amount must be greater than zero. ","")&amp;IF(AND($H53&lt;&gt;"",$H53&gt;Settings!$C$5),"Invoice date is in the future. ","")&amp;IF(AND($K53="Received in Full",$J53=""),"Missing actual delivery date. ","")&amp;IF(ROUND(N($O53)-N($N53),2)&gt;0,"Payments exceed the invoice amount. ","")&amp;IF(AND($K53="Rejected",N($O53)&gt;0),"Payment made on a rejected delivery. ","")&amp;IF(AND($B53&lt;&gt;"",IFERROR(INDEX('Vendor Master'!$H$8:$H$47,MATCH($B53,'Vendor Master'!$A$8:$A$47,0)),"")="Inactive",ROUND(N($P53),2)&gt;0),"Open balance with an inactive vendor. ","")))</f>
        <v/>
      </c>
      <c r="Y53" s="53" t="str">
        <f aca="false">IF($A53="","",IF(ROUND($P53,2)&gt;0.004,"Yes","No"))</f>
        <v>Yes</v>
      </c>
      <c r="Z53" s="49" t="n">
        <f aca="false">IF(OR($Y53&lt;&gt;"Yes",$M53=""),"",COUNTIFS('Invoice &amp; Delivery Log'!$Y$8:$Y$157,"Yes",'Invoice &amp; Delivery Log'!$M$8:$M$157,"&lt;"&amp;$M53)+COUNTIFS('Invoice &amp; Delivery Log'!$Y$8:$Y$157,"Yes",'Invoice &amp; Delivery Log'!$M$8:$M$157,$M53,'Invoice &amp; Delivery Log'!$A$8:$A$157,"&lt;"&amp;$A53)+1)</f>
        <v>11</v>
      </c>
    </row>
    <row r="54" customFormat="false" ht="15" hidden="false" customHeight="true" outlineLevel="0" collapsed="false">
      <c r="A54" s="44" t="s">
        <v>398</v>
      </c>
      <c r="B54" s="44" t="s">
        <v>172</v>
      </c>
      <c r="C54" s="55" t="str">
        <f aca="false">IF($B54="","",IFERROR(INDEX('Vendor Master'!$B$8:$B$47,MATCH($B54,'Vendor Master'!$A$8:$A$47,0)),"NOT FOUND"))</f>
        <v>Harborline Logistics</v>
      </c>
      <c r="D54" s="44" t="s">
        <v>399</v>
      </c>
      <c r="E54" s="45" t="s">
        <v>400</v>
      </c>
      <c r="F54" s="55" t="str">
        <f aca="false">IF($B54="","",IFERROR(INDEX('Vendor Master'!$C$8:$C$47,MATCH($B54,'Vendor Master'!$A$8:$A$47,0)),""))</f>
        <v>Logistics</v>
      </c>
      <c r="G54" s="45" t="s">
        <v>253</v>
      </c>
      <c r="H54" s="56" t="n">
        <v>46217</v>
      </c>
      <c r="I54" s="56" t="n">
        <v>46216</v>
      </c>
      <c r="J54" s="56" t="n">
        <v>46215</v>
      </c>
      <c r="K54" s="44" t="s">
        <v>237</v>
      </c>
      <c r="L54" s="57" t="n">
        <f aca="false">IF($B54="","",IFERROR(INDEX('Vendor Master'!$G$8:$G$47,MATCH($B54,'Vendor Master'!$A$8:$A$47,0)),""))</f>
        <v>30</v>
      </c>
      <c r="M54" s="37" t="n">
        <f aca="false">IF(OR($H54="",$L54=""),"",$H54+$L54)</f>
        <v>46247</v>
      </c>
      <c r="N54" s="58" t="n">
        <v>1217.61</v>
      </c>
      <c r="O54" s="30" t="n">
        <f aca="false">IF($A54="","",SUMIFS('Payments Log'!$F$8:$F$207,'Payments Log'!$B$8:$B$207,$A54))</f>
        <v>1217.61</v>
      </c>
      <c r="P54" s="30" t="n">
        <f aca="false">IF($A54="","",ROUND($N54-$O54,2))</f>
        <v>0</v>
      </c>
      <c r="Q54" s="36" t="str">
        <f aca="false">IF($A54="","",IF(N($N54)&lt;=0,"Check Amount",IF(ROUND($O54,2)&lt;=0,"Unpaid",IF(ROUND($O54-$N54,2)&gt;0,"Overpaid",IF(ROUND($P54,2)&lt;=0,"Paid","Partially Paid")))))</f>
        <v>Paid</v>
      </c>
      <c r="R54" s="47" t="n">
        <f aca="false">IF(OR($A54="",$M54=""),"",IF(ROUND($P54,2)&lt;=0,0,MAX(0,Settings!$C$5-$M54-Settings!$C$7)))</f>
        <v>0</v>
      </c>
      <c r="S54" s="30" t="n">
        <f aca="false">IF($A54="","",IF(N($R54)&gt;0,MAX($P54,0),0))</f>
        <v>0</v>
      </c>
      <c r="T54" s="36" t="str">
        <f aca="false">IF($A54="","",IF(ROUND($P54,2)&lt;0,"Supplier Credit",IF(ROUND($P54,2)=0,"Closed",IF($M54="","No Due Date",IF(N($R54)&lt;=0,"Not Due Yet",IF(N($R54)&lt;=Settings!$C$8,"1-30 Days Overdue",IF(N($R54)&lt;=Settings!$C$9,"31-60 Days Overdue",IF(N($R54)&lt;=Settings!$C$10,"61-90 Days Overdue","90+ Days Overdue"))))))))</f>
        <v>Closed</v>
      </c>
      <c r="U54" s="37" t="n">
        <f aca="false">IF($A54="","",IF(COUNTIFS('Payments Log'!$B$8:$B$207,$A54)=0,"",SUMPRODUCT(MAX(('Payments Log'!$B$8:$B$207=$A54)*'Payments Log'!$E$8:$E$207))))</f>
        <v>46263</v>
      </c>
      <c r="V54" s="36" t="str">
        <f aca="false">IF($A54="","",IF($J54="","Not Delivered",IF($I54="","No Target Date",IF($J54&lt;=$I54,"On Time","Late"))))</f>
        <v>On Time</v>
      </c>
      <c r="W54" s="36" t="str">
        <f aca="false">IF($A54="","",IF($X54="","OK","REVIEW"))</f>
        <v>OK</v>
      </c>
      <c r="X54" s="28" t="str">
        <f aca="false">IF($A54="","",TRIM(IF($B54="","Missing vendor ID. ","")&amp;IF($C54="NOT FOUND","Vendor ID not in Vendor Master. ","")&amp;IF(COUNTIFS('Invoice &amp; Delivery Log'!$A$8:$A$157,$A54)&gt;1,"Duplicate invoice ID. ","")&amp;IF(AND($D54&lt;&gt;"",COUNTIFS('Invoice &amp; Delivery Log'!$D$8:$D$157,$D54,'Invoice &amp; Delivery Log'!$B$8:$B$157,$B54)&gt;1),"Duplicate supplier invoice number. ","")&amp;IF($E54="","Missing PO number. ","")&amp;IF($H54="","Missing invoice date. ","")&amp;IF(N($N54)&lt;=0,"Invoice amount must be greater than zero. ","")&amp;IF(AND($H54&lt;&gt;"",$H54&gt;Settings!$C$5),"Invoice date is in the future. ","")&amp;IF(AND($K54="Received in Full",$J54=""),"Missing actual delivery date. ","")&amp;IF(ROUND(N($O54)-N($N54),2)&gt;0,"Payments exceed the invoice amount. ","")&amp;IF(AND($K54="Rejected",N($O54)&gt;0),"Payment made on a rejected delivery. ","")&amp;IF(AND($B54&lt;&gt;"",IFERROR(INDEX('Vendor Master'!$H$8:$H$47,MATCH($B54,'Vendor Master'!$A$8:$A$47,0)),"")="Inactive",ROUND(N($P54),2)&gt;0),"Open balance with an inactive vendor. ","")))</f>
        <v/>
      </c>
      <c r="Y54" s="36" t="str">
        <f aca="false">IF($A54="","",IF(ROUND($P54,2)&gt;0.004,"Yes","No"))</f>
        <v>No</v>
      </c>
      <c r="Z54" s="29" t="str">
        <f aca="false">IF(OR($Y54&lt;&gt;"Yes",$M54=""),"",COUNTIFS('Invoice &amp; Delivery Log'!$Y$8:$Y$157,"Yes",'Invoice &amp; Delivery Log'!$M$8:$M$157,"&lt;"&amp;$M54)+COUNTIFS('Invoice &amp; Delivery Log'!$Y$8:$Y$157,"Yes",'Invoice &amp; Delivery Log'!$M$8:$M$157,$M54,'Invoice &amp; Delivery Log'!$A$8:$A$157,"&lt;"&amp;$A54)+1)</f>
        <v/>
      </c>
    </row>
    <row r="55" customFormat="false" ht="15" hidden="false" customHeight="true" outlineLevel="0" collapsed="false">
      <c r="A55" s="44" t="s">
        <v>401</v>
      </c>
      <c r="B55" s="44" t="s">
        <v>172</v>
      </c>
      <c r="C55" s="59" t="str">
        <f aca="false">IF($B55="","",IFERROR(INDEX('Vendor Master'!$B$8:$B$47,MATCH($B55,'Vendor Master'!$A$8:$A$47,0)),"NOT FOUND"))</f>
        <v>Harborline Logistics</v>
      </c>
      <c r="D55" s="44" t="s">
        <v>402</v>
      </c>
      <c r="E55" s="45" t="s">
        <v>403</v>
      </c>
      <c r="F55" s="59" t="str">
        <f aca="false">IF($B55="","",IFERROR(INDEX('Vendor Master'!$C$8:$C$47,MATCH($B55,'Vendor Master'!$A$8:$A$47,0)),""))</f>
        <v>Logistics</v>
      </c>
      <c r="G55" s="45" t="s">
        <v>404</v>
      </c>
      <c r="H55" s="56" t="n">
        <v>46220</v>
      </c>
      <c r="I55" s="56" t="n">
        <v>46216</v>
      </c>
      <c r="J55" s="56" t="n">
        <v>46219</v>
      </c>
      <c r="K55" s="44" t="s">
        <v>237</v>
      </c>
      <c r="L55" s="60" t="n">
        <f aca="false">IF($B55="","",IFERROR(INDEX('Vendor Master'!$G$8:$G$47,MATCH($B55,'Vendor Master'!$A$8:$A$47,0)),""))</f>
        <v>30</v>
      </c>
      <c r="M55" s="61" t="n">
        <f aca="false">IF(OR($H55="",$L55=""),"",$H55+$L55)</f>
        <v>46250</v>
      </c>
      <c r="N55" s="58" t="n">
        <v>1840.84</v>
      </c>
      <c r="O55" s="50" t="n">
        <f aca="false">IF($A55="","",SUMIFS('Payments Log'!$F$8:$F$207,'Payments Log'!$B$8:$B$207,$A55))</f>
        <v>736.34</v>
      </c>
      <c r="P55" s="50" t="n">
        <f aca="false">IF($A55="","",ROUND($N55-$O55,2))</f>
        <v>1104.5</v>
      </c>
      <c r="Q55" s="53" t="str">
        <f aca="false">IF($A55="","",IF(N($N55)&lt;=0,"Check Amount",IF(ROUND($O55,2)&lt;=0,"Unpaid",IF(ROUND($O55-$N55,2)&gt;0,"Overpaid",IF(ROUND($P55,2)&lt;=0,"Paid","Partially Paid")))))</f>
        <v>Partially Paid</v>
      </c>
      <c r="R55" s="52" t="n">
        <f aca="false">IF(OR($A55="",$M55=""),"",IF(ROUND($P55,2)&lt;=0,0,MAX(0,Settings!$C$5-$M55-Settings!$C$7)))</f>
        <v>22</v>
      </c>
      <c r="S55" s="50" t="n">
        <f aca="false">IF($A55="","",IF(N($R55)&gt;0,MAX($P55,0),0))</f>
        <v>1104.5</v>
      </c>
      <c r="T55" s="53" t="str">
        <f aca="false">IF($A55="","",IF(ROUND($P55,2)&lt;0,"Supplier Credit",IF(ROUND($P55,2)=0,"Closed",IF($M55="","No Due Date",IF(N($R55)&lt;=0,"Not Due Yet",IF(N($R55)&lt;=Settings!$C$8,"1-30 Days Overdue",IF(N($R55)&lt;=Settings!$C$9,"31-60 Days Overdue",IF(N($R55)&lt;=Settings!$C$10,"61-90 Days Overdue","90+ Days Overdue"))))))))</f>
        <v>1-30 Days Overdue</v>
      </c>
      <c r="U55" s="61" t="n">
        <f aca="false">IF($A55="","",IF(COUNTIFS('Payments Log'!$B$8:$B$207,$A55)=0,"",SUMPRODUCT(MAX(('Payments Log'!$B$8:$B$207=$A55)*'Payments Log'!$E$8:$E$207))))</f>
        <v>46214</v>
      </c>
      <c r="V55" s="53" t="str">
        <f aca="false">IF($A55="","",IF($J55="","Not Delivered",IF($I55="","No Target Date",IF($J55&lt;=$I55,"On Time","Late"))))</f>
        <v>Late</v>
      </c>
      <c r="W55" s="53" t="str">
        <f aca="false">IF($A55="","",IF($X55="","OK","REVIEW"))</f>
        <v>OK</v>
      </c>
      <c r="X55" s="62" t="str">
        <f aca="false">IF($A55="","",TRIM(IF($B55="","Missing vendor ID. ","")&amp;IF($C55="NOT FOUND","Vendor ID not in Vendor Master. ","")&amp;IF(COUNTIFS('Invoice &amp; Delivery Log'!$A$8:$A$157,$A55)&gt;1,"Duplicate invoice ID. ","")&amp;IF(AND($D55&lt;&gt;"",COUNTIFS('Invoice &amp; Delivery Log'!$D$8:$D$157,$D55,'Invoice &amp; Delivery Log'!$B$8:$B$157,$B55)&gt;1),"Duplicate supplier invoice number. ","")&amp;IF($E55="","Missing PO number. ","")&amp;IF($H55="","Missing invoice date. ","")&amp;IF(N($N55)&lt;=0,"Invoice amount must be greater than zero. ","")&amp;IF(AND($H55&lt;&gt;"",$H55&gt;Settings!$C$5),"Invoice date is in the future. ","")&amp;IF(AND($K55="Received in Full",$J55=""),"Missing actual delivery date. ","")&amp;IF(ROUND(N($O55)-N($N55),2)&gt;0,"Payments exceed the invoice amount. ","")&amp;IF(AND($K55="Rejected",N($O55)&gt;0),"Payment made on a rejected delivery. ","")&amp;IF(AND($B55&lt;&gt;"",IFERROR(INDEX('Vendor Master'!$H$8:$H$47,MATCH($B55,'Vendor Master'!$A$8:$A$47,0)),"")="Inactive",ROUND(N($P55),2)&gt;0),"Open balance with an inactive vendor. ","")))</f>
        <v/>
      </c>
      <c r="Y55" s="53" t="str">
        <f aca="false">IF($A55="","",IF(ROUND($P55,2)&gt;0.004,"Yes","No"))</f>
        <v>Yes</v>
      </c>
      <c r="Z55" s="49" t="n">
        <f aca="false">IF(OR($Y55&lt;&gt;"Yes",$M55=""),"",COUNTIFS('Invoice &amp; Delivery Log'!$Y$8:$Y$157,"Yes",'Invoice &amp; Delivery Log'!$M$8:$M$157,"&lt;"&amp;$M55)+COUNTIFS('Invoice &amp; Delivery Log'!$Y$8:$Y$157,"Yes",'Invoice &amp; Delivery Log'!$M$8:$M$157,$M55,'Invoice &amp; Delivery Log'!$A$8:$A$157,"&lt;"&amp;$A55)+1)</f>
        <v>12</v>
      </c>
    </row>
    <row r="56" customFormat="false" ht="15" hidden="false" customHeight="true" outlineLevel="0" collapsed="false">
      <c r="A56" s="44" t="s">
        <v>405</v>
      </c>
      <c r="B56" s="44" t="s">
        <v>154</v>
      </c>
      <c r="C56" s="55" t="str">
        <f aca="false">IF($B56="","",IFERROR(INDEX('Vendor Master'!$B$8:$B$47,MATCH($B56,'Vendor Master'!$A$8:$A$47,0)),"NOT FOUND"))</f>
        <v>Ironbridge Hardware Co.</v>
      </c>
      <c r="D56" s="44" t="s">
        <v>406</v>
      </c>
      <c r="E56" s="45" t="s">
        <v>407</v>
      </c>
      <c r="F56" s="55" t="str">
        <f aca="false">IF($B56="","",IFERROR(INDEX('Vendor Master'!$C$8:$C$47,MATCH($B56,'Vendor Master'!$A$8:$A$47,0)),""))</f>
        <v>Maintenance &amp; Repair</v>
      </c>
      <c r="G56" s="45" t="s">
        <v>289</v>
      </c>
      <c r="H56" s="56" t="n">
        <v>46229</v>
      </c>
      <c r="I56" s="56" t="n">
        <v>46217</v>
      </c>
      <c r="J56" s="56" t="n">
        <v>46228</v>
      </c>
      <c r="K56" s="44" t="s">
        <v>237</v>
      </c>
      <c r="L56" s="57" t="n">
        <f aca="false">IF($B56="","",IFERROR(INDEX('Vendor Master'!$G$8:$G$47,MATCH($B56,'Vendor Master'!$A$8:$A$47,0)),""))</f>
        <v>45</v>
      </c>
      <c r="M56" s="37" t="n">
        <f aca="false">IF(OR($H56="",$L56=""),"",$H56+$L56)</f>
        <v>46274</v>
      </c>
      <c r="N56" s="58" t="n">
        <v>3748.61</v>
      </c>
      <c r="O56" s="30" t="n">
        <f aca="false">IF($A56="","",SUMIFS('Payments Log'!$F$8:$F$207,'Payments Log'!$B$8:$B$207,$A56))</f>
        <v>0</v>
      </c>
      <c r="P56" s="30" t="n">
        <f aca="false">IF($A56="","",ROUND($N56-$O56,2))</f>
        <v>3748.61</v>
      </c>
      <c r="Q56" s="36" t="str">
        <f aca="false">IF($A56="","",IF(N($N56)&lt;=0,"Check Amount",IF(ROUND($O56,2)&lt;=0,"Unpaid",IF(ROUND($O56-$N56,2)&gt;0,"Overpaid",IF(ROUND($P56,2)&lt;=0,"Paid","Partially Paid")))))</f>
        <v>Unpaid</v>
      </c>
      <c r="R56" s="47" t="n">
        <f aca="false">IF(OR($A56="",$M56=""),"",IF(ROUND($P56,2)&lt;=0,0,MAX(0,Settings!$C$5-$M56-Settings!$C$7)))</f>
        <v>0</v>
      </c>
      <c r="S56" s="30" t="n">
        <f aca="false">IF($A56="","",IF(N($R56)&gt;0,MAX($P56,0),0))</f>
        <v>0</v>
      </c>
      <c r="T56" s="36" t="str">
        <f aca="false">IF($A56="","",IF(ROUND($P56,2)&lt;0,"Supplier Credit",IF(ROUND($P56,2)=0,"Closed",IF($M56="","No Due Date",IF(N($R56)&lt;=0,"Not Due Yet",IF(N($R56)&lt;=Settings!$C$8,"1-30 Days Overdue",IF(N($R56)&lt;=Settings!$C$9,"31-60 Days Overdue",IF(N($R56)&lt;=Settings!$C$10,"61-90 Days Overdue","90+ Days Overdue"))))))))</f>
        <v>Not Due Yet</v>
      </c>
      <c r="U56" s="37" t="str">
        <f aca="false">IF($A56="","",IF(COUNTIFS('Payments Log'!$B$8:$B$207,$A56)=0,"",SUMPRODUCT(MAX(('Payments Log'!$B$8:$B$207=$A56)*'Payments Log'!$E$8:$E$207))))</f>
        <v/>
      </c>
      <c r="V56" s="36" t="str">
        <f aca="false">IF($A56="","",IF($J56="","Not Delivered",IF($I56="","No Target Date",IF($J56&lt;=$I56,"On Time","Late"))))</f>
        <v>Late</v>
      </c>
      <c r="W56" s="36" t="str">
        <f aca="false">IF($A56="","",IF($X56="","OK","REVIEW"))</f>
        <v>OK</v>
      </c>
      <c r="X56" s="28" t="str">
        <f aca="false">IF($A56="","",TRIM(IF($B56="","Missing vendor ID. ","")&amp;IF($C56="NOT FOUND","Vendor ID not in Vendor Master. ","")&amp;IF(COUNTIFS('Invoice &amp; Delivery Log'!$A$8:$A$157,$A56)&gt;1,"Duplicate invoice ID. ","")&amp;IF(AND($D56&lt;&gt;"",COUNTIFS('Invoice &amp; Delivery Log'!$D$8:$D$157,$D56,'Invoice &amp; Delivery Log'!$B$8:$B$157,$B56)&gt;1),"Duplicate supplier invoice number. ","")&amp;IF($E56="","Missing PO number. ","")&amp;IF($H56="","Missing invoice date. ","")&amp;IF(N($N56)&lt;=0,"Invoice amount must be greater than zero. ","")&amp;IF(AND($H56&lt;&gt;"",$H56&gt;Settings!$C$5),"Invoice date is in the future. ","")&amp;IF(AND($K56="Received in Full",$J56=""),"Missing actual delivery date. ","")&amp;IF(ROUND(N($O56)-N($N56),2)&gt;0,"Payments exceed the invoice amount. ","")&amp;IF(AND($K56="Rejected",N($O56)&gt;0),"Payment made on a rejected delivery. ","")&amp;IF(AND($B56&lt;&gt;"",IFERROR(INDEX('Vendor Master'!$H$8:$H$47,MATCH($B56,'Vendor Master'!$A$8:$A$47,0)),"")="Inactive",ROUND(N($P56),2)&gt;0),"Open balance with an inactive vendor. ","")))</f>
        <v/>
      </c>
      <c r="Y56" s="36" t="str">
        <f aca="false">IF($A56="","",IF(ROUND($P56,2)&gt;0.004,"Yes","No"))</f>
        <v>Yes</v>
      </c>
      <c r="Z56" s="29" t="n">
        <f aca="false">IF(OR($Y56&lt;&gt;"Yes",$M56=""),"",COUNTIFS('Invoice &amp; Delivery Log'!$Y$8:$Y$157,"Yes",'Invoice &amp; Delivery Log'!$M$8:$M$157,"&lt;"&amp;$M56)+COUNTIFS('Invoice &amp; Delivery Log'!$Y$8:$Y$157,"Yes",'Invoice &amp; Delivery Log'!$M$8:$M$157,$M56,'Invoice &amp; Delivery Log'!$A$8:$A$157,"&lt;"&amp;$A56)+1)</f>
        <v>13</v>
      </c>
    </row>
    <row r="57" customFormat="false" ht="15" hidden="false" customHeight="true" outlineLevel="0" collapsed="false">
      <c r="A57" s="44" t="s">
        <v>408</v>
      </c>
      <c r="B57" s="44" t="s">
        <v>172</v>
      </c>
      <c r="C57" s="59" t="str">
        <f aca="false">IF($B57="","",IFERROR(INDEX('Vendor Master'!$B$8:$B$47,MATCH($B57,'Vendor Master'!$A$8:$A$47,0)),"NOT FOUND"))</f>
        <v>Harborline Logistics</v>
      </c>
      <c r="D57" s="44" t="s">
        <v>409</v>
      </c>
      <c r="E57" s="45" t="s">
        <v>410</v>
      </c>
      <c r="F57" s="59" t="str">
        <f aca="false">IF($B57="","",IFERROR(INDEX('Vendor Master'!$C$8:$C$47,MATCH($B57,'Vendor Master'!$A$8:$A$47,0)),""))</f>
        <v>Logistics</v>
      </c>
      <c r="G57" s="45" t="s">
        <v>241</v>
      </c>
      <c r="H57" s="56" t="n">
        <v>46223</v>
      </c>
      <c r="I57" s="56" t="n">
        <v>46223</v>
      </c>
      <c r="J57" s="56" t="n">
        <v>46223</v>
      </c>
      <c r="K57" s="44" t="s">
        <v>237</v>
      </c>
      <c r="L57" s="60" t="n">
        <f aca="false">IF($B57="","",IFERROR(INDEX('Vendor Master'!$G$8:$G$47,MATCH($B57,'Vendor Master'!$A$8:$A$47,0)),""))</f>
        <v>30</v>
      </c>
      <c r="M57" s="61" t="n">
        <f aca="false">IF(OR($H57="",$L57=""),"",$H57+$L57)</f>
        <v>46253</v>
      </c>
      <c r="N57" s="58" t="n">
        <v>3774.38</v>
      </c>
      <c r="O57" s="50" t="n">
        <f aca="false">IF($A57="","",SUMIFS('Payments Log'!$F$8:$F$207,'Payments Log'!$B$8:$B$207,$A57))</f>
        <v>3774.38</v>
      </c>
      <c r="P57" s="50" t="n">
        <f aca="false">IF($A57="","",ROUND($N57-$O57,2))</f>
        <v>0</v>
      </c>
      <c r="Q57" s="53" t="str">
        <f aca="false">IF($A57="","",IF(N($N57)&lt;=0,"Check Amount",IF(ROUND($O57,2)&lt;=0,"Unpaid",IF(ROUND($O57-$N57,2)&gt;0,"Overpaid",IF(ROUND($P57,2)&lt;=0,"Paid","Partially Paid")))))</f>
        <v>Paid</v>
      </c>
      <c r="R57" s="52" t="n">
        <f aca="false">IF(OR($A57="",$M57=""),"",IF(ROUND($P57,2)&lt;=0,0,MAX(0,Settings!$C$5-$M57-Settings!$C$7)))</f>
        <v>0</v>
      </c>
      <c r="S57" s="50" t="n">
        <f aca="false">IF($A57="","",IF(N($R57)&gt;0,MAX($P57,0),0))</f>
        <v>0</v>
      </c>
      <c r="T57" s="53" t="str">
        <f aca="false">IF($A57="","",IF(ROUND($P57,2)&lt;0,"Supplier Credit",IF(ROUND($P57,2)=0,"Closed",IF($M57="","No Due Date",IF(N($R57)&lt;=0,"Not Due Yet",IF(N($R57)&lt;=Settings!$C$8,"1-30 Days Overdue",IF(N($R57)&lt;=Settings!$C$9,"31-60 Days Overdue",IF(N($R57)&lt;=Settings!$C$10,"61-90 Days Overdue","90+ Days Overdue"))))))))</f>
        <v>Closed</v>
      </c>
      <c r="U57" s="61" t="n">
        <f aca="false">IF($A57="","",IF(COUNTIFS('Payments Log'!$B$8:$B$207,$A57)=0,"",SUMPRODUCT(MAX(('Payments Log'!$B$8:$B$207=$A57)*'Payments Log'!$E$8:$E$207))))</f>
        <v>46233</v>
      </c>
      <c r="V57" s="53" t="str">
        <f aca="false">IF($A57="","",IF($J57="","Not Delivered",IF($I57="","No Target Date",IF($J57&lt;=$I57,"On Time","Late"))))</f>
        <v>On Time</v>
      </c>
      <c r="W57" s="53" t="str">
        <f aca="false">IF($A57="","",IF($X57="","OK","REVIEW"))</f>
        <v>OK</v>
      </c>
      <c r="X57" s="62" t="str">
        <f aca="false">IF($A57="","",TRIM(IF($B57="","Missing vendor ID. ","")&amp;IF($C57="NOT FOUND","Vendor ID not in Vendor Master. ","")&amp;IF(COUNTIFS('Invoice &amp; Delivery Log'!$A$8:$A$157,$A57)&gt;1,"Duplicate invoice ID. ","")&amp;IF(AND($D57&lt;&gt;"",COUNTIFS('Invoice &amp; Delivery Log'!$D$8:$D$157,$D57,'Invoice &amp; Delivery Log'!$B$8:$B$157,$B57)&gt;1),"Duplicate supplier invoice number. ","")&amp;IF($E57="","Missing PO number. ","")&amp;IF($H57="","Missing invoice date. ","")&amp;IF(N($N57)&lt;=0,"Invoice amount must be greater than zero. ","")&amp;IF(AND($H57&lt;&gt;"",$H57&gt;Settings!$C$5),"Invoice date is in the future. ","")&amp;IF(AND($K57="Received in Full",$J57=""),"Missing actual delivery date. ","")&amp;IF(ROUND(N($O57)-N($N57),2)&gt;0,"Payments exceed the invoice amount. ","")&amp;IF(AND($K57="Rejected",N($O57)&gt;0),"Payment made on a rejected delivery. ","")&amp;IF(AND($B57&lt;&gt;"",IFERROR(INDEX('Vendor Master'!$H$8:$H$47,MATCH($B57,'Vendor Master'!$A$8:$A$47,0)),"")="Inactive",ROUND(N($P57),2)&gt;0),"Open balance with an inactive vendor. ","")))</f>
        <v/>
      </c>
      <c r="Y57" s="53" t="str">
        <f aca="false">IF($A57="","",IF(ROUND($P57,2)&gt;0.004,"Yes","No"))</f>
        <v>No</v>
      </c>
      <c r="Z57" s="49" t="str">
        <f aca="false">IF(OR($Y57&lt;&gt;"Yes",$M57=""),"",COUNTIFS('Invoice &amp; Delivery Log'!$Y$8:$Y$157,"Yes",'Invoice &amp; Delivery Log'!$M$8:$M$157,"&lt;"&amp;$M57)+COUNTIFS('Invoice &amp; Delivery Log'!$Y$8:$Y$157,"Yes",'Invoice &amp; Delivery Log'!$M$8:$M$157,$M57,'Invoice &amp; Delivery Log'!$A$8:$A$157,"&lt;"&amp;$A57)+1)</f>
        <v/>
      </c>
    </row>
    <row r="58" customFormat="false" ht="15" hidden="false" customHeight="true" outlineLevel="0" collapsed="false">
      <c r="A58" s="44" t="s">
        <v>411</v>
      </c>
      <c r="B58" s="44" t="s">
        <v>166</v>
      </c>
      <c r="C58" s="55" t="str">
        <f aca="false">IF($B58="","",IFERROR(INDEX('Vendor Master'!$B$8:$B$47,MATCH($B58,'Vendor Master'!$A$8:$A$47,0)),"NOT FOUND"))</f>
        <v>Summit Cleaning Services</v>
      </c>
      <c r="D58" s="44" t="s">
        <v>412</v>
      </c>
      <c r="E58" s="45" t="s">
        <v>413</v>
      </c>
      <c r="F58" s="55" t="str">
        <f aca="false">IF($B58="","",IFERROR(INDEX('Vendor Master'!$C$8:$C$47,MATCH($B58,'Vendor Master'!$A$8:$A$47,0)),""))</f>
        <v>Facility Services</v>
      </c>
      <c r="G58" s="45" t="s">
        <v>257</v>
      </c>
      <c r="H58" s="56" t="n">
        <v>46226</v>
      </c>
      <c r="I58" s="56" t="n">
        <v>46228</v>
      </c>
      <c r="J58" s="56" t="n">
        <v>46226</v>
      </c>
      <c r="K58" s="44" t="s">
        <v>245</v>
      </c>
      <c r="L58" s="57" t="n">
        <f aca="false">IF($B58="","",IFERROR(INDEX('Vendor Master'!$G$8:$G$47,MATCH($B58,'Vendor Master'!$A$8:$A$47,0)),""))</f>
        <v>14</v>
      </c>
      <c r="M58" s="37" t="n">
        <f aca="false">IF(OR($H58="",$L58=""),"",$H58+$L58)</f>
        <v>46240</v>
      </c>
      <c r="N58" s="58" t="n">
        <v>1758.09</v>
      </c>
      <c r="O58" s="30" t="n">
        <f aca="false">IF($A58="","",SUMIFS('Payments Log'!$F$8:$F$207,'Payments Log'!$B$8:$B$207,$A58))</f>
        <v>1758.09</v>
      </c>
      <c r="P58" s="30" t="n">
        <f aca="false">IF($A58="","",ROUND($N58-$O58,2))</f>
        <v>0</v>
      </c>
      <c r="Q58" s="36" t="str">
        <f aca="false">IF($A58="","",IF(N($N58)&lt;=0,"Check Amount",IF(ROUND($O58,2)&lt;=0,"Unpaid",IF(ROUND($O58-$N58,2)&gt;0,"Overpaid",IF(ROUND($P58,2)&lt;=0,"Paid","Partially Paid")))))</f>
        <v>Paid</v>
      </c>
      <c r="R58" s="47" t="n">
        <f aca="false">IF(OR($A58="",$M58=""),"",IF(ROUND($P58,2)&lt;=0,0,MAX(0,Settings!$C$5-$M58-Settings!$C$7)))</f>
        <v>0</v>
      </c>
      <c r="S58" s="30" t="n">
        <f aca="false">IF($A58="","",IF(N($R58)&gt;0,MAX($P58,0),0))</f>
        <v>0</v>
      </c>
      <c r="T58" s="36" t="str">
        <f aca="false">IF($A58="","",IF(ROUND($P58,2)&lt;0,"Supplier Credit",IF(ROUND($P58,2)=0,"Closed",IF($M58="","No Due Date",IF(N($R58)&lt;=0,"Not Due Yet",IF(N($R58)&lt;=Settings!$C$8,"1-30 Days Overdue",IF(N($R58)&lt;=Settings!$C$9,"31-60 Days Overdue",IF(N($R58)&lt;=Settings!$C$10,"61-90 Days Overdue","90+ Days Overdue"))))))))</f>
        <v>Closed</v>
      </c>
      <c r="U58" s="37" t="n">
        <f aca="false">IF($A58="","",IF(COUNTIFS('Payments Log'!$B$8:$B$207,$A58)=0,"",SUMPRODUCT(MAX(('Payments Log'!$B$8:$B$207=$A58)*'Payments Log'!$E$8:$E$207))))</f>
        <v>46229</v>
      </c>
      <c r="V58" s="36" t="str">
        <f aca="false">IF($A58="","",IF($J58="","Not Delivered",IF($I58="","No Target Date",IF($J58&lt;=$I58,"On Time","Late"))))</f>
        <v>On Time</v>
      </c>
      <c r="W58" s="36" t="str">
        <f aca="false">IF($A58="","",IF($X58="","OK","REVIEW"))</f>
        <v>OK</v>
      </c>
      <c r="X58" s="28" t="str">
        <f aca="false">IF($A58="","",TRIM(IF($B58="","Missing vendor ID. ","")&amp;IF($C58="NOT FOUND","Vendor ID not in Vendor Master. ","")&amp;IF(COUNTIFS('Invoice &amp; Delivery Log'!$A$8:$A$157,$A58)&gt;1,"Duplicate invoice ID. ","")&amp;IF(AND($D58&lt;&gt;"",COUNTIFS('Invoice &amp; Delivery Log'!$D$8:$D$157,$D58,'Invoice &amp; Delivery Log'!$B$8:$B$157,$B58)&gt;1),"Duplicate supplier invoice number. ","")&amp;IF($E58="","Missing PO number. ","")&amp;IF($H58="","Missing invoice date. ","")&amp;IF(N($N58)&lt;=0,"Invoice amount must be greater than zero. ","")&amp;IF(AND($H58&lt;&gt;"",$H58&gt;Settings!$C$5),"Invoice date is in the future. ","")&amp;IF(AND($K58="Received in Full",$J58=""),"Missing actual delivery date. ","")&amp;IF(ROUND(N($O58)-N($N58),2)&gt;0,"Payments exceed the invoice amount. ","")&amp;IF(AND($K58="Rejected",N($O58)&gt;0),"Payment made on a rejected delivery. ","")&amp;IF(AND($B58&lt;&gt;"",IFERROR(INDEX('Vendor Master'!$H$8:$H$47,MATCH($B58,'Vendor Master'!$A$8:$A$47,0)),"")="Inactive",ROUND(N($P58),2)&gt;0),"Open balance with an inactive vendor. ","")))</f>
        <v/>
      </c>
      <c r="Y58" s="36" t="str">
        <f aca="false">IF($A58="","",IF(ROUND($P58,2)&gt;0.004,"Yes","No"))</f>
        <v>No</v>
      </c>
      <c r="Z58" s="29" t="str">
        <f aca="false">IF(OR($Y58&lt;&gt;"Yes",$M58=""),"",COUNTIFS('Invoice &amp; Delivery Log'!$Y$8:$Y$157,"Yes",'Invoice &amp; Delivery Log'!$M$8:$M$157,"&lt;"&amp;$M58)+COUNTIFS('Invoice &amp; Delivery Log'!$Y$8:$Y$157,"Yes",'Invoice &amp; Delivery Log'!$M$8:$M$157,$M58,'Invoice &amp; Delivery Log'!$A$8:$A$157,"&lt;"&amp;$A58)+1)</f>
        <v/>
      </c>
    </row>
    <row r="59" customFormat="false" ht="15" hidden="false" customHeight="true" outlineLevel="0" collapsed="false">
      <c r="A59" s="44" t="s">
        <v>414</v>
      </c>
      <c r="B59" s="44" t="s">
        <v>172</v>
      </c>
      <c r="C59" s="59" t="str">
        <f aca="false">IF($B59="","",IFERROR(INDEX('Vendor Master'!$B$8:$B$47,MATCH($B59,'Vendor Master'!$A$8:$A$47,0)),"NOT FOUND"))</f>
        <v>Harborline Logistics</v>
      </c>
      <c r="D59" s="44" t="s">
        <v>415</v>
      </c>
      <c r="E59" s="45" t="s">
        <v>416</v>
      </c>
      <c r="F59" s="59" t="str">
        <f aca="false">IF($B59="","",IFERROR(INDEX('Vendor Master'!$C$8:$C$47,MATCH($B59,'Vendor Master'!$A$8:$A$47,0)),""))</f>
        <v>Logistics</v>
      </c>
      <c r="G59" s="45" t="s">
        <v>253</v>
      </c>
      <c r="H59" s="56" t="n">
        <v>46231</v>
      </c>
      <c r="I59" s="56" t="n">
        <v>46230</v>
      </c>
      <c r="J59" s="56" t="n">
        <v>46230</v>
      </c>
      <c r="K59" s="44" t="s">
        <v>237</v>
      </c>
      <c r="L59" s="60" t="n">
        <f aca="false">IF($B59="","",IFERROR(INDEX('Vendor Master'!$G$8:$G$47,MATCH($B59,'Vendor Master'!$A$8:$A$47,0)),""))</f>
        <v>30</v>
      </c>
      <c r="M59" s="61" t="n">
        <f aca="false">IF(OR($H59="",$L59=""),"",$H59+$L59)</f>
        <v>46261</v>
      </c>
      <c r="N59" s="58" t="n">
        <v>3940.06</v>
      </c>
      <c r="O59" s="50" t="n">
        <f aca="false">IF($A59="","",SUMIFS('Payments Log'!$F$8:$F$207,'Payments Log'!$B$8:$B$207,$A59))</f>
        <v>3940.06</v>
      </c>
      <c r="P59" s="50" t="n">
        <f aca="false">IF($A59="","",ROUND($N59-$O59,2))</f>
        <v>0</v>
      </c>
      <c r="Q59" s="53" t="str">
        <f aca="false">IF($A59="","",IF(N($N59)&lt;=0,"Check Amount",IF(ROUND($O59,2)&lt;=0,"Unpaid",IF(ROUND($O59-$N59,2)&gt;0,"Overpaid",IF(ROUND($P59,2)&lt;=0,"Paid","Partially Paid")))))</f>
        <v>Paid</v>
      </c>
      <c r="R59" s="52" t="n">
        <f aca="false">IF(OR($A59="",$M59=""),"",IF(ROUND($P59,2)&lt;=0,0,MAX(0,Settings!$C$5-$M59-Settings!$C$7)))</f>
        <v>0</v>
      </c>
      <c r="S59" s="50" t="n">
        <f aca="false">IF($A59="","",IF(N($R59)&gt;0,MAX($P59,0),0))</f>
        <v>0</v>
      </c>
      <c r="T59" s="53" t="str">
        <f aca="false">IF($A59="","",IF(ROUND($P59,2)&lt;0,"Supplier Credit",IF(ROUND($P59,2)=0,"Closed",IF($M59="","No Due Date",IF(N($R59)&lt;=0,"Not Due Yet",IF(N($R59)&lt;=Settings!$C$8,"1-30 Days Overdue",IF(N($R59)&lt;=Settings!$C$9,"31-60 Days Overdue",IF(N($R59)&lt;=Settings!$C$10,"61-90 Days Overdue","90+ Days Overdue"))))))))</f>
        <v>Closed</v>
      </c>
      <c r="U59" s="61" t="n">
        <f aca="false">IF($A59="","",IF(COUNTIFS('Payments Log'!$B$8:$B$207,$A59)=0,"",SUMPRODUCT(MAX(('Payments Log'!$B$8:$B$207=$A59)*'Payments Log'!$E$8:$E$207))))</f>
        <v>46245</v>
      </c>
      <c r="V59" s="53" t="str">
        <f aca="false">IF($A59="","",IF($J59="","Not Delivered",IF($I59="","No Target Date",IF($J59&lt;=$I59,"On Time","Late"))))</f>
        <v>On Time</v>
      </c>
      <c r="W59" s="53" t="str">
        <f aca="false">IF($A59="","",IF($X59="","OK","REVIEW"))</f>
        <v>OK</v>
      </c>
      <c r="X59" s="62" t="str">
        <f aca="false">IF($A59="","",TRIM(IF($B59="","Missing vendor ID. ","")&amp;IF($C59="NOT FOUND","Vendor ID not in Vendor Master. ","")&amp;IF(COUNTIFS('Invoice &amp; Delivery Log'!$A$8:$A$157,$A59)&gt;1,"Duplicate invoice ID. ","")&amp;IF(AND($D59&lt;&gt;"",COUNTIFS('Invoice &amp; Delivery Log'!$D$8:$D$157,$D59,'Invoice &amp; Delivery Log'!$B$8:$B$157,$B59)&gt;1),"Duplicate supplier invoice number. ","")&amp;IF($E59="","Missing PO number. ","")&amp;IF($H59="","Missing invoice date. ","")&amp;IF(N($N59)&lt;=0,"Invoice amount must be greater than zero. ","")&amp;IF(AND($H59&lt;&gt;"",$H59&gt;Settings!$C$5),"Invoice date is in the future. ","")&amp;IF(AND($K59="Received in Full",$J59=""),"Missing actual delivery date. ","")&amp;IF(ROUND(N($O59)-N($N59),2)&gt;0,"Payments exceed the invoice amount. ","")&amp;IF(AND($K59="Rejected",N($O59)&gt;0),"Payment made on a rejected delivery. ","")&amp;IF(AND($B59&lt;&gt;"",IFERROR(INDEX('Vendor Master'!$H$8:$H$47,MATCH($B59,'Vendor Master'!$A$8:$A$47,0)),"")="Inactive",ROUND(N($P59),2)&gt;0),"Open balance with an inactive vendor. ","")))</f>
        <v/>
      </c>
      <c r="Y59" s="53" t="str">
        <f aca="false">IF($A59="","",IF(ROUND($P59,2)&gt;0.004,"Yes","No"))</f>
        <v>No</v>
      </c>
      <c r="Z59" s="49" t="str">
        <f aca="false">IF(OR($Y59&lt;&gt;"Yes",$M59=""),"",COUNTIFS('Invoice &amp; Delivery Log'!$Y$8:$Y$157,"Yes",'Invoice &amp; Delivery Log'!$M$8:$M$157,"&lt;"&amp;$M59)+COUNTIFS('Invoice &amp; Delivery Log'!$Y$8:$Y$157,"Yes",'Invoice &amp; Delivery Log'!$M$8:$M$157,$M59,'Invoice &amp; Delivery Log'!$A$8:$A$157,"&lt;"&amp;$A59)+1)</f>
        <v/>
      </c>
    </row>
    <row r="60" customFormat="false" ht="15" hidden="false" customHeight="true" outlineLevel="0" collapsed="false">
      <c r="A60" s="44" t="s">
        <v>417</v>
      </c>
      <c r="B60" s="44" t="s">
        <v>141</v>
      </c>
      <c r="C60" s="55" t="str">
        <f aca="false">IF($B60="","",IFERROR(INDEX('Vendor Master'!$B$8:$B$47,MATCH($B60,'Vendor Master'!$A$8:$A$47,0)),"NOT FOUND"))</f>
        <v>Northwind Paper Supply</v>
      </c>
      <c r="D60" s="44" t="s">
        <v>418</v>
      </c>
      <c r="E60" s="45" t="s">
        <v>419</v>
      </c>
      <c r="F60" s="55" t="str">
        <f aca="false">IF($B60="","",IFERROR(INDEX('Vendor Master'!$C$8:$C$47,MATCH($B60,'Vendor Master'!$A$8:$A$47,0)),""))</f>
        <v>Office Supplies</v>
      </c>
      <c r="G60" s="45" t="s">
        <v>420</v>
      </c>
      <c r="H60" s="56" t="n">
        <v>46235</v>
      </c>
      <c r="I60" s="56" t="n">
        <v>46237</v>
      </c>
      <c r="J60" s="56" t="n">
        <v>46235</v>
      </c>
      <c r="K60" s="44" t="s">
        <v>237</v>
      </c>
      <c r="L60" s="57" t="n">
        <f aca="false">IF($B60="","",IFERROR(INDEX('Vendor Master'!$G$8:$G$47,MATCH($B60,'Vendor Master'!$A$8:$A$47,0)),""))</f>
        <v>30</v>
      </c>
      <c r="M60" s="37" t="n">
        <f aca="false">IF(OR($H60="",$L60=""),"",$H60+$L60)</f>
        <v>46265</v>
      </c>
      <c r="N60" s="58" t="n">
        <v>601.31</v>
      </c>
      <c r="O60" s="30" t="n">
        <f aca="false">IF($A60="","",SUMIFS('Payments Log'!$F$8:$F$207,'Payments Log'!$B$8:$B$207,$A60))</f>
        <v>601.31</v>
      </c>
      <c r="P60" s="30" t="n">
        <f aca="false">IF($A60="","",ROUND($N60-$O60,2))</f>
        <v>0</v>
      </c>
      <c r="Q60" s="36" t="str">
        <f aca="false">IF($A60="","",IF(N($N60)&lt;=0,"Check Amount",IF(ROUND($O60,2)&lt;=0,"Unpaid",IF(ROUND($O60-$N60,2)&gt;0,"Overpaid",IF(ROUND($P60,2)&lt;=0,"Paid","Partially Paid")))))</f>
        <v>Paid</v>
      </c>
      <c r="R60" s="47" t="n">
        <f aca="false">IF(OR($A60="",$M60=""),"",IF(ROUND($P60,2)&lt;=0,0,MAX(0,Settings!$C$5-$M60-Settings!$C$7)))</f>
        <v>0</v>
      </c>
      <c r="S60" s="30" t="n">
        <f aca="false">IF($A60="","",IF(N($R60)&gt;0,MAX($P60,0),0))</f>
        <v>0</v>
      </c>
      <c r="T60" s="36" t="str">
        <f aca="false">IF($A60="","",IF(ROUND($P60,2)&lt;0,"Supplier Credit",IF(ROUND($P60,2)=0,"Closed",IF($M60="","No Due Date",IF(N($R60)&lt;=0,"Not Due Yet",IF(N($R60)&lt;=Settings!$C$8,"1-30 Days Overdue",IF(N($R60)&lt;=Settings!$C$9,"31-60 Days Overdue",IF(N($R60)&lt;=Settings!$C$10,"61-90 Days Overdue","90+ Days Overdue"))))))))</f>
        <v>Closed</v>
      </c>
      <c r="U60" s="37" t="n">
        <f aca="false">IF($A60="","",IF(COUNTIFS('Payments Log'!$B$8:$B$207,$A60)=0,"",SUMPRODUCT(MAX(('Payments Log'!$B$8:$B$207=$A60)*'Payments Log'!$E$8:$E$207))))</f>
        <v>46272</v>
      </c>
      <c r="V60" s="36" t="str">
        <f aca="false">IF($A60="","",IF($J60="","Not Delivered",IF($I60="","No Target Date",IF($J60&lt;=$I60,"On Time","Late"))))</f>
        <v>On Time</v>
      </c>
      <c r="W60" s="36" t="str">
        <f aca="false">IF($A60="","",IF($X60="","OK","REVIEW"))</f>
        <v>OK</v>
      </c>
      <c r="X60" s="28" t="str">
        <f aca="false">IF($A60="","",TRIM(IF($B60="","Missing vendor ID. ","")&amp;IF($C60="NOT FOUND","Vendor ID not in Vendor Master. ","")&amp;IF(COUNTIFS('Invoice &amp; Delivery Log'!$A$8:$A$157,$A60)&gt;1,"Duplicate invoice ID. ","")&amp;IF(AND($D60&lt;&gt;"",COUNTIFS('Invoice &amp; Delivery Log'!$D$8:$D$157,$D60,'Invoice &amp; Delivery Log'!$B$8:$B$157,$B60)&gt;1),"Duplicate supplier invoice number. ","")&amp;IF($E60="","Missing PO number. ","")&amp;IF($H60="","Missing invoice date. ","")&amp;IF(N($N60)&lt;=0,"Invoice amount must be greater than zero. ","")&amp;IF(AND($H60&lt;&gt;"",$H60&gt;Settings!$C$5),"Invoice date is in the future. ","")&amp;IF(AND($K60="Received in Full",$J60=""),"Missing actual delivery date. ","")&amp;IF(ROUND(N($O60)-N($N60),2)&gt;0,"Payments exceed the invoice amount. ","")&amp;IF(AND($K60="Rejected",N($O60)&gt;0),"Payment made on a rejected delivery. ","")&amp;IF(AND($B60&lt;&gt;"",IFERROR(INDEX('Vendor Master'!$H$8:$H$47,MATCH($B60,'Vendor Master'!$A$8:$A$47,0)),"")="Inactive",ROUND(N($P60),2)&gt;0),"Open balance with an inactive vendor. ","")))</f>
        <v/>
      </c>
      <c r="Y60" s="36" t="str">
        <f aca="false">IF($A60="","",IF(ROUND($P60,2)&gt;0.004,"Yes","No"))</f>
        <v>No</v>
      </c>
      <c r="Z60" s="29" t="str">
        <f aca="false">IF(OR($Y60&lt;&gt;"Yes",$M60=""),"",COUNTIFS('Invoice &amp; Delivery Log'!$Y$8:$Y$157,"Yes",'Invoice &amp; Delivery Log'!$M$8:$M$157,"&lt;"&amp;$M60)+COUNTIFS('Invoice &amp; Delivery Log'!$Y$8:$Y$157,"Yes",'Invoice &amp; Delivery Log'!$M$8:$M$157,$M60,'Invoice &amp; Delivery Log'!$A$8:$A$157,"&lt;"&amp;$A60)+1)</f>
        <v/>
      </c>
    </row>
    <row r="61" customFormat="false" ht="15" hidden="false" customHeight="true" outlineLevel="0" collapsed="false">
      <c r="A61" s="44" t="s">
        <v>421</v>
      </c>
      <c r="B61" s="44" t="s">
        <v>154</v>
      </c>
      <c r="C61" s="59" t="str">
        <f aca="false">IF($B61="","",IFERROR(INDEX('Vendor Master'!$B$8:$B$47,MATCH($B61,'Vendor Master'!$A$8:$A$47,0)),"NOT FOUND"))</f>
        <v>Ironbridge Hardware Co.</v>
      </c>
      <c r="D61" s="44" t="s">
        <v>422</v>
      </c>
      <c r="E61" s="45" t="s">
        <v>423</v>
      </c>
      <c r="F61" s="59" t="str">
        <f aca="false">IF($B61="","",IFERROR(INDEX('Vendor Master'!$C$8:$C$47,MATCH($B61,'Vendor Master'!$A$8:$A$47,0)),""))</f>
        <v>Maintenance &amp; Repair</v>
      </c>
      <c r="G61" s="45" t="s">
        <v>289</v>
      </c>
      <c r="H61" s="56" t="n">
        <v>46244</v>
      </c>
      <c r="I61" s="56" t="n">
        <v>46244</v>
      </c>
      <c r="J61" s="56" t="n">
        <v>46242</v>
      </c>
      <c r="K61" s="44" t="s">
        <v>237</v>
      </c>
      <c r="L61" s="60" t="n">
        <f aca="false">IF($B61="","",IFERROR(INDEX('Vendor Master'!$G$8:$G$47,MATCH($B61,'Vendor Master'!$A$8:$A$47,0)),""))</f>
        <v>45</v>
      </c>
      <c r="M61" s="61" t="n">
        <f aca="false">IF(OR($H61="",$L61=""),"",$H61+$L61)</f>
        <v>46289</v>
      </c>
      <c r="N61" s="58" t="n">
        <v>2455.83</v>
      </c>
      <c r="O61" s="50" t="n">
        <f aca="false">IF($A61="","",SUMIFS('Payments Log'!$F$8:$F$207,'Payments Log'!$B$8:$B$207,$A61))</f>
        <v>0</v>
      </c>
      <c r="P61" s="50" t="n">
        <f aca="false">IF($A61="","",ROUND($N61-$O61,2))</f>
        <v>2455.83</v>
      </c>
      <c r="Q61" s="53" t="str">
        <f aca="false">IF($A61="","",IF(N($N61)&lt;=0,"Check Amount",IF(ROUND($O61,2)&lt;=0,"Unpaid",IF(ROUND($O61-$N61,2)&gt;0,"Overpaid",IF(ROUND($P61,2)&lt;=0,"Paid","Partially Paid")))))</f>
        <v>Unpaid</v>
      </c>
      <c r="R61" s="52" t="n">
        <f aca="false">IF(OR($A61="",$M61=""),"",IF(ROUND($P61,2)&lt;=0,0,MAX(0,Settings!$C$5-$M61-Settings!$C$7)))</f>
        <v>0</v>
      </c>
      <c r="S61" s="50" t="n">
        <f aca="false">IF($A61="","",IF(N($R61)&gt;0,MAX($P61,0),0))</f>
        <v>0</v>
      </c>
      <c r="T61" s="53" t="str">
        <f aca="false">IF($A61="","",IF(ROUND($P61,2)&lt;0,"Supplier Credit",IF(ROUND($P61,2)=0,"Closed",IF($M61="","No Due Date",IF(N($R61)&lt;=0,"Not Due Yet",IF(N($R61)&lt;=Settings!$C$8,"1-30 Days Overdue",IF(N($R61)&lt;=Settings!$C$9,"31-60 Days Overdue",IF(N($R61)&lt;=Settings!$C$10,"61-90 Days Overdue","90+ Days Overdue"))))))))</f>
        <v>Not Due Yet</v>
      </c>
      <c r="U61" s="61" t="str">
        <f aca="false">IF($A61="","",IF(COUNTIFS('Payments Log'!$B$8:$B$207,$A61)=0,"",SUMPRODUCT(MAX(('Payments Log'!$B$8:$B$207=$A61)*'Payments Log'!$E$8:$E$207))))</f>
        <v/>
      </c>
      <c r="V61" s="53" t="str">
        <f aca="false">IF($A61="","",IF($J61="","Not Delivered",IF($I61="","No Target Date",IF($J61&lt;=$I61,"On Time","Late"))))</f>
        <v>On Time</v>
      </c>
      <c r="W61" s="53" t="str">
        <f aca="false">IF($A61="","",IF($X61="","OK","REVIEW"))</f>
        <v>OK</v>
      </c>
      <c r="X61" s="62" t="str">
        <f aca="false">IF($A61="","",TRIM(IF($B61="","Missing vendor ID. ","")&amp;IF($C61="NOT FOUND","Vendor ID not in Vendor Master. ","")&amp;IF(COUNTIFS('Invoice &amp; Delivery Log'!$A$8:$A$157,$A61)&gt;1,"Duplicate invoice ID. ","")&amp;IF(AND($D61&lt;&gt;"",COUNTIFS('Invoice &amp; Delivery Log'!$D$8:$D$157,$D61,'Invoice &amp; Delivery Log'!$B$8:$B$157,$B61)&gt;1),"Duplicate supplier invoice number. ","")&amp;IF($E61="","Missing PO number. ","")&amp;IF($H61="","Missing invoice date. ","")&amp;IF(N($N61)&lt;=0,"Invoice amount must be greater than zero. ","")&amp;IF(AND($H61&lt;&gt;"",$H61&gt;Settings!$C$5),"Invoice date is in the future. ","")&amp;IF(AND($K61="Received in Full",$J61=""),"Missing actual delivery date. ","")&amp;IF(ROUND(N($O61)-N($N61),2)&gt;0,"Payments exceed the invoice amount. ","")&amp;IF(AND($K61="Rejected",N($O61)&gt;0),"Payment made on a rejected delivery. ","")&amp;IF(AND($B61&lt;&gt;"",IFERROR(INDEX('Vendor Master'!$H$8:$H$47,MATCH($B61,'Vendor Master'!$A$8:$A$47,0)),"")="Inactive",ROUND(N($P61),2)&gt;0),"Open balance with an inactive vendor. ","")))</f>
        <v/>
      </c>
      <c r="Y61" s="53" t="str">
        <f aca="false">IF($A61="","",IF(ROUND($P61,2)&gt;0.004,"Yes","No"))</f>
        <v>Yes</v>
      </c>
      <c r="Z61" s="49" t="n">
        <f aca="false">IF(OR($Y61&lt;&gt;"Yes",$M61=""),"",COUNTIFS('Invoice &amp; Delivery Log'!$Y$8:$Y$157,"Yes",'Invoice &amp; Delivery Log'!$M$8:$M$157,"&lt;"&amp;$M61)+COUNTIFS('Invoice &amp; Delivery Log'!$Y$8:$Y$157,"Yes",'Invoice &amp; Delivery Log'!$M$8:$M$157,$M61,'Invoice &amp; Delivery Log'!$A$8:$A$157,"&lt;"&amp;$A61)+1)</f>
        <v>14</v>
      </c>
    </row>
    <row r="62" customFormat="false" ht="15" hidden="false" customHeight="true" outlineLevel="0" collapsed="false">
      <c r="A62" s="44" t="s">
        <v>424</v>
      </c>
      <c r="B62" s="44" t="s">
        <v>172</v>
      </c>
      <c r="C62" s="55" t="str">
        <f aca="false">IF($B62="","",IFERROR(INDEX('Vendor Master'!$B$8:$B$47,MATCH($B62,'Vendor Master'!$A$8:$A$47,0)),"NOT FOUND"))</f>
        <v>Harborline Logistics</v>
      </c>
      <c r="D62" s="44" t="s">
        <v>425</v>
      </c>
      <c r="E62" s="45" t="s">
        <v>426</v>
      </c>
      <c r="F62" s="55" t="str">
        <f aca="false">IF($B62="","",IFERROR(INDEX('Vendor Master'!$C$8:$C$47,MATCH($B62,'Vendor Master'!$A$8:$A$47,0)),""))</f>
        <v>Logistics</v>
      </c>
      <c r="G62" s="45" t="s">
        <v>241</v>
      </c>
      <c r="H62" s="56" t="n">
        <v>46251</v>
      </c>
      <c r="I62" s="56" t="n">
        <v>46247</v>
      </c>
      <c r="J62" s="56" t="n">
        <v>46251</v>
      </c>
      <c r="K62" s="44" t="s">
        <v>237</v>
      </c>
      <c r="L62" s="57" t="n">
        <f aca="false">IF($B62="","",IFERROR(INDEX('Vendor Master'!$G$8:$G$47,MATCH($B62,'Vendor Master'!$A$8:$A$47,0)),""))</f>
        <v>30</v>
      </c>
      <c r="M62" s="37" t="n">
        <f aca="false">IF(OR($H62="",$L62=""),"",$H62+$L62)</f>
        <v>46281</v>
      </c>
      <c r="N62" s="58" t="n">
        <v>3481.94</v>
      </c>
      <c r="O62" s="30" t="n">
        <f aca="false">IF($A62="","",SUMIFS('Payments Log'!$F$8:$F$207,'Payments Log'!$B$8:$B$207,$A62))</f>
        <v>3481.94</v>
      </c>
      <c r="P62" s="30" t="n">
        <f aca="false">IF($A62="","",ROUND($N62-$O62,2))</f>
        <v>0</v>
      </c>
      <c r="Q62" s="36" t="str">
        <f aca="false">IF($A62="","",IF(N($N62)&lt;=0,"Check Amount",IF(ROUND($O62,2)&lt;=0,"Unpaid",IF(ROUND($O62-$N62,2)&gt;0,"Overpaid",IF(ROUND($P62,2)&lt;=0,"Paid","Partially Paid")))))</f>
        <v>Paid</v>
      </c>
      <c r="R62" s="47" t="n">
        <f aca="false">IF(OR($A62="",$M62=""),"",IF(ROUND($P62,2)&lt;=0,0,MAX(0,Settings!$C$5-$M62-Settings!$C$7)))</f>
        <v>0</v>
      </c>
      <c r="S62" s="30" t="n">
        <f aca="false">IF($A62="","",IF(N($R62)&gt;0,MAX($P62,0),0))</f>
        <v>0</v>
      </c>
      <c r="T62" s="36" t="str">
        <f aca="false">IF($A62="","",IF(ROUND($P62,2)&lt;0,"Supplier Credit",IF(ROUND($P62,2)=0,"Closed",IF($M62="","No Due Date",IF(N($R62)&lt;=0,"Not Due Yet",IF(N($R62)&lt;=Settings!$C$8,"1-30 Days Overdue",IF(N($R62)&lt;=Settings!$C$9,"31-60 Days Overdue",IF(N($R62)&lt;=Settings!$C$10,"61-90 Days Overdue","90+ Days Overdue"))))))))</f>
        <v>Closed</v>
      </c>
      <c r="U62" s="37" t="n">
        <f aca="false">IF($A62="","",IF(COUNTIFS('Payments Log'!$B$8:$B$207,$A62)=0,"",SUMPRODUCT(MAX(('Payments Log'!$B$8:$B$207=$A62)*'Payments Log'!$E$8:$E$207))))</f>
        <v>46258</v>
      </c>
      <c r="V62" s="36" t="str">
        <f aca="false">IF($A62="","",IF($J62="","Not Delivered",IF($I62="","No Target Date",IF($J62&lt;=$I62,"On Time","Late"))))</f>
        <v>Late</v>
      </c>
      <c r="W62" s="36" t="str">
        <f aca="false">IF($A62="","",IF($X62="","OK","REVIEW"))</f>
        <v>OK</v>
      </c>
      <c r="X62" s="28" t="str">
        <f aca="false">IF($A62="","",TRIM(IF($B62="","Missing vendor ID. ","")&amp;IF($C62="NOT FOUND","Vendor ID not in Vendor Master. ","")&amp;IF(COUNTIFS('Invoice &amp; Delivery Log'!$A$8:$A$157,$A62)&gt;1,"Duplicate invoice ID. ","")&amp;IF(AND($D62&lt;&gt;"",COUNTIFS('Invoice &amp; Delivery Log'!$D$8:$D$157,$D62,'Invoice &amp; Delivery Log'!$B$8:$B$157,$B62)&gt;1),"Duplicate supplier invoice number. ","")&amp;IF($E62="","Missing PO number. ","")&amp;IF($H62="","Missing invoice date. ","")&amp;IF(N($N62)&lt;=0,"Invoice amount must be greater than zero. ","")&amp;IF(AND($H62&lt;&gt;"",$H62&gt;Settings!$C$5),"Invoice date is in the future. ","")&amp;IF(AND($K62="Received in Full",$J62=""),"Missing actual delivery date. ","")&amp;IF(ROUND(N($O62)-N($N62),2)&gt;0,"Payments exceed the invoice amount. ","")&amp;IF(AND($K62="Rejected",N($O62)&gt;0),"Payment made on a rejected delivery. ","")&amp;IF(AND($B62&lt;&gt;"",IFERROR(INDEX('Vendor Master'!$H$8:$H$47,MATCH($B62,'Vendor Master'!$A$8:$A$47,0)),"")="Inactive",ROUND(N($P62),2)&gt;0),"Open balance with an inactive vendor. ","")))</f>
        <v/>
      </c>
      <c r="Y62" s="36" t="str">
        <f aca="false">IF($A62="","",IF(ROUND($P62,2)&gt;0.004,"Yes","No"))</f>
        <v>No</v>
      </c>
      <c r="Z62" s="29" t="str">
        <f aca="false">IF(OR($Y62&lt;&gt;"Yes",$M62=""),"",COUNTIFS('Invoice &amp; Delivery Log'!$Y$8:$Y$157,"Yes",'Invoice &amp; Delivery Log'!$M$8:$M$157,"&lt;"&amp;$M62)+COUNTIFS('Invoice &amp; Delivery Log'!$Y$8:$Y$157,"Yes",'Invoice &amp; Delivery Log'!$M$8:$M$157,$M62,'Invoice &amp; Delivery Log'!$A$8:$A$157,"&lt;"&amp;$A62)+1)</f>
        <v/>
      </c>
    </row>
    <row r="63" customFormat="false" ht="15" hidden="false" customHeight="true" outlineLevel="0" collapsed="false">
      <c r="A63" s="44" t="s">
        <v>427</v>
      </c>
      <c r="B63" s="44" t="s">
        <v>166</v>
      </c>
      <c r="C63" s="59" t="str">
        <f aca="false">IF($B63="","",IFERROR(INDEX('Vendor Master'!$B$8:$B$47,MATCH($B63,'Vendor Master'!$A$8:$A$47,0)),"NOT FOUND"))</f>
        <v>Summit Cleaning Services</v>
      </c>
      <c r="D63" s="44" t="s">
        <v>428</v>
      </c>
      <c r="E63" s="45" t="s">
        <v>429</v>
      </c>
      <c r="F63" s="59" t="str">
        <f aca="false">IF($B63="","",IFERROR(INDEX('Vendor Master'!$C$8:$C$47,MATCH($B63,'Vendor Master'!$A$8:$A$47,0)),""))</f>
        <v>Facility Services</v>
      </c>
      <c r="G63" s="45" t="s">
        <v>257</v>
      </c>
      <c r="H63" s="56" t="n">
        <v>46250</v>
      </c>
      <c r="I63" s="56" t="n">
        <v>46249</v>
      </c>
      <c r="J63" s="56" t="n">
        <v>46249</v>
      </c>
      <c r="K63" s="44" t="s">
        <v>237</v>
      </c>
      <c r="L63" s="60" t="n">
        <f aca="false">IF($B63="","",IFERROR(INDEX('Vendor Master'!$G$8:$G$47,MATCH($B63,'Vendor Master'!$A$8:$A$47,0)),""))</f>
        <v>14</v>
      </c>
      <c r="M63" s="61" t="n">
        <f aca="false">IF(OR($H63="",$L63=""),"",$H63+$L63)</f>
        <v>46264</v>
      </c>
      <c r="N63" s="58" t="n">
        <v>760.96</v>
      </c>
      <c r="O63" s="50" t="n">
        <f aca="false">IF($A63="","",SUMIFS('Payments Log'!$F$8:$F$207,'Payments Log'!$B$8:$B$207,$A63))</f>
        <v>760.96</v>
      </c>
      <c r="P63" s="50" t="n">
        <f aca="false">IF($A63="","",ROUND($N63-$O63,2))</f>
        <v>0</v>
      </c>
      <c r="Q63" s="53" t="str">
        <f aca="false">IF($A63="","",IF(N($N63)&lt;=0,"Check Amount",IF(ROUND($O63,2)&lt;=0,"Unpaid",IF(ROUND($O63-$N63,2)&gt;0,"Overpaid",IF(ROUND($P63,2)&lt;=0,"Paid","Partially Paid")))))</f>
        <v>Paid</v>
      </c>
      <c r="R63" s="52" t="n">
        <f aca="false">IF(OR($A63="",$M63=""),"",IF(ROUND($P63,2)&lt;=0,0,MAX(0,Settings!$C$5-$M63-Settings!$C$7)))</f>
        <v>0</v>
      </c>
      <c r="S63" s="50" t="n">
        <f aca="false">IF($A63="","",IF(N($R63)&gt;0,MAX($P63,0),0))</f>
        <v>0</v>
      </c>
      <c r="T63" s="53" t="str">
        <f aca="false">IF($A63="","",IF(ROUND($P63,2)&lt;0,"Supplier Credit",IF(ROUND($P63,2)=0,"Closed",IF($M63="","No Due Date",IF(N($R63)&lt;=0,"Not Due Yet",IF(N($R63)&lt;=Settings!$C$8,"1-30 Days Overdue",IF(N($R63)&lt;=Settings!$C$9,"31-60 Days Overdue",IF(N($R63)&lt;=Settings!$C$10,"61-90 Days Overdue","90+ Days Overdue"))))))))</f>
        <v>Closed</v>
      </c>
      <c r="U63" s="61" t="n">
        <f aca="false">IF($A63="","",IF(COUNTIFS('Payments Log'!$B$8:$B$207,$A63)=0,"",SUMPRODUCT(MAX(('Payments Log'!$B$8:$B$207=$A63)*'Payments Log'!$E$8:$E$207))))</f>
        <v>46253</v>
      </c>
      <c r="V63" s="53" t="str">
        <f aca="false">IF($A63="","",IF($J63="","Not Delivered",IF($I63="","No Target Date",IF($J63&lt;=$I63,"On Time","Late"))))</f>
        <v>On Time</v>
      </c>
      <c r="W63" s="53" t="str">
        <f aca="false">IF($A63="","",IF($X63="","OK","REVIEW"))</f>
        <v>OK</v>
      </c>
      <c r="X63" s="62" t="str">
        <f aca="false">IF($A63="","",TRIM(IF($B63="","Missing vendor ID. ","")&amp;IF($C63="NOT FOUND","Vendor ID not in Vendor Master. ","")&amp;IF(COUNTIFS('Invoice &amp; Delivery Log'!$A$8:$A$157,$A63)&gt;1,"Duplicate invoice ID. ","")&amp;IF(AND($D63&lt;&gt;"",COUNTIFS('Invoice &amp; Delivery Log'!$D$8:$D$157,$D63,'Invoice &amp; Delivery Log'!$B$8:$B$157,$B63)&gt;1),"Duplicate supplier invoice number. ","")&amp;IF($E63="","Missing PO number. ","")&amp;IF($H63="","Missing invoice date. ","")&amp;IF(N($N63)&lt;=0,"Invoice amount must be greater than zero. ","")&amp;IF(AND($H63&lt;&gt;"",$H63&gt;Settings!$C$5),"Invoice date is in the future. ","")&amp;IF(AND($K63="Received in Full",$J63=""),"Missing actual delivery date. ","")&amp;IF(ROUND(N($O63)-N($N63),2)&gt;0,"Payments exceed the invoice amount. ","")&amp;IF(AND($K63="Rejected",N($O63)&gt;0),"Payment made on a rejected delivery. ","")&amp;IF(AND($B63&lt;&gt;"",IFERROR(INDEX('Vendor Master'!$H$8:$H$47,MATCH($B63,'Vendor Master'!$A$8:$A$47,0)),"")="Inactive",ROUND(N($P63),2)&gt;0),"Open balance with an inactive vendor. ","")))</f>
        <v/>
      </c>
      <c r="Y63" s="53" t="str">
        <f aca="false">IF($A63="","",IF(ROUND($P63,2)&gt;0.004,"Yes","No"))</f>
        <v>No</v>
      </c>
      <c r="Z63" s="49" t="str">
        <f aca="false">IF(OR($Y63&lt;&gt;"Yes",$M63=""),"",COUNTIFS('Invoice &amp; Delivery Log'!$Y$8:$Y$157,"Yes",'Invoice &amp; Delivery Log'!$M$8:$M$157,"&lt;"&amp;$M63)+COUNTIFS('Invoice &amp; Delivery Log'!$Y$8:$Y$157,"Yes",'Invoice &amp; Delivery Log'!$M$8:$M$157,$M63,'Invoice &amp; Delivery Log'!$A$8:$A$157,"&lt;"&amp;$A63)+1)</f>
        <v/>
      </c>
    </row>
    <row r="64" customFormat="false" ht="15" hidden="false" customHeight="true" outlineLevel="0" collapsed="false">
      <c r="A64" s="44" t="s">
        <v>430</v>
      </c>
      <c r="B64" s="44" t="s">
        <v>196</v>
      </c>
      <c r="C64" s="55" t="str">
        <f aca="false">IF($B64="","",IFERROR(INDEX('Vendor Master'!$B$8:$B$47,MATCH($B64,'Vendor Master'!$A$8:$A$47,0)),"NOT FOUND"))</f>
        <v>Copperfield Textiles</v>
      </c>
      <c r="D64" s="44" t="s">
        <v>431</v>
      </c>
      <c r="E64" s="45" t="s">
        <v>432</v>
      </c>
      <c r="F64" s="55" t="str">
        <f aca="false">IF($B64="","",IFERROR(INDEX('Vendor Master'!$C$8:$C$47,MATCH($B64,'Vendor Master'!$A$8:$A$47,0)),""))</f>
        <v>Textiles</v>
      </c>
      <c r="G64" s="45" t="s">
        <v>236</v>
      </c>
      <c r="H64" s="56" t="n">
        <v>46263</v>
      </c>
      <c r="I64" s="56" t="n">
        <v>46258</v>
      </c>
      <c r="J64" s="56" t="n">
        <v>46260</v>
      </c>
      <c r="K64" s="44" t="s">
        <v>237</v>
      </c>
      <c r="L64" s="57" t="n">
        <f aca="false">IF($B64="","",IFERROR(INDEX('Vendor Master'!$G$8:$G$47,MATCH($B64,'Vendor Master'!$A$8:$A$47,0)),""))</f>
        <v>60</v>
      </c>
      <c r="M64" s="37" t="n">
        <f aca="false">IF(OR($H64="",$L64=""),"",$H64+$L64)</f>
        <v>46323</v>
      </c>
      <c r="N64" s="58" t="n">
        <v>9418.22</v>
      </c>
      <c r="O64" s="30" t="n">
        <f aca="false">IF($A64="","",SUMIFS('Payments Log'!$F$8:$F$207,'Payments Log'!$B$8:$B$207,$A64))</f>
        <v>0</v>
      </c>
      <c r="P64" s="30" t="n">
        <f aca="false">IF($A64="","",ROUND($N64-$O64,2))</f>
        <v>9418.22</v>
      </c>
      <c r="Q64" s="36" t="str">
        <f aca="false">IF($A64="","",IF(N($N64)&lt;=0,"Check Amount",IF(ROUND($O64,2)&lt;=0,"Unpaid",IF(ROUND($O64-$N64,2)&gt;0,"Overpaid",IF(ROUND($P64,2)&lt;=0,"Paid","Partially Paid")))))</f>
        <v>Unpaid</v>
      </c>
      <c r="R64" s="47" t="n">
        <f aca="false">IF(OR($A64="",$M64=""),"",IF(ROUND($P64,2)&lt;=0,0,MAX(0,Settings!$C$5-$M64-Settings!$C$7)))</f>
        <v>0</v>
      </c>
      <c r="S64" s="30" t="n">
        <f aca="false">IF($A64="","",IF(N($R64)&gt;0,MAX($P64,0),0))</f>
        <v>0</v>
      </c>
      <c r="T64" s="36" t="str">
        <f aca="false">IF($A64="","",IF(ROUND($P64,2)&lt;0,"Supplier Credit",IF(ROUND($P64,2)=0,"Closed",IF($M64="","No Due Date",IF(N($R64)&lt;=0,"Not Due Yet",IF(N($R64)&lt;=Settings!$C$8,"1-30 Days Overdue",IF(N($R64)&lt;=Settings!$C$9,"31-60 Days Overdue",IF(N($R64)&lt;=Settings!$C$10,"61-90 Days Overdue","90+ Days Overdue"))))))))</f>
        <v>Not Due Yet</v>
      </c>
      <c r="U64" s="37" t="str">
        <f aca="false">IF($A64="","",IF(COUNTIFS('Payments Log'!$B$8:$B$207,$A64)=0,"",SUMPRODUCT(MAX(('Payments Log'!$B$8:$B$207=$A64)*'Payments Log'!$E$8:$E$207))))</f>
        <v/>
      </c>
      <c r="V64" s="36" t="str">
        <f aca="false">IF($A64="","",IF($J64="","Not Delivered",IF($I64="","No Target Date",IF($J64&lt;=$I64,"On Time","Late"))))</f>
        <v>Late</v>
      </c>
      <c r="W64" s="36" t="str">
        <f aca="false">IF($A64="","",IF($X64="","OK","REVIEW"))</f>
        <v>OK</v>
      </c>
      <c r="X64" s="28" t="str">
        <f aca="false">IF($A64="","",TRIM(IF($B64="","Missing vendor ID. ","")&amp;IF($C64="NOT FOUND","Vendor ID not in Vendor Master. ","")&amp;IF(COUNTIFS('Invoice &amp; Delivery Log'!$A$8:$A$157,$A64)&gt;1,"Duplicate invoice ID. ","")&amp;IF(AND($D64&lt;&gt;"",COUNTIFS('Invoice &amp; Delivery Log'!$D$8:$D$157,$D64,'Invoice &amp; Delivery Log'!$B$8:$B$157,$B64)&gt;1),"Duplicate supplier invoice number. ","")&amp;IF($E64="","Missing PO number. ","")&amp;IF($H64="","Missing invoice date. ","")&amp;IF(N($N64)&lt;=0,"Invoice amount must be greater than zero. ","")&amp;IF(AND($H64&lt;&gt;"",$H64&gt;Settings!$C$5),"Invoice date is in the future. ","")&amp;IF(AND($K64="Received in Full",$J64=""),"Missing actual delivery date. ","")&amp;IF(ROUND(N($O64)-N($N64),2)&gt;0,"Payments exceed the invoice amount. ","")&amp;IF(AND($K64="Rejected",N($O64)&gt;0),"Payment made on a rejected delivery. ","")&amp;IF(AND($B64&lt;&gt;"",IFERROR(INDEX('Vendor Master'!$H$8:$H$47,MATCH($B64,'Vendor Master'!$A$8:$A$47,0)),"")="Inactive",ROUND(N($P64),2)&gt;0),"Open balance with an inactive vendor. ","")))</f>
        <v/>
      </c>
      <c r="Y64" s="36" t="str">
        <f aca="false">IF($A64="","",IF(ROUND($P64,2)&gt;0.004,"Yes","No"))</f>
        <v>Yes</v>
      </c>
      <c r="Z64" s="29" t="n">
        <f aca="false">IF(OR($Y64&lt;&gt;"Yes",$M64=""),"",COUNTIFS('Invoice &amp; Delivery Log'!$Y$8:$Y$157,"Yes",'Invoice &amp; Delivery Log'!$M$8:$M$157,"&lt;"&amp;$M64)+COUNTIFS('Invoice &amp; Delivery Log'!$Y$8:$Y$157,"Yes",'Invoice &amp; Delivery Log'!$M$8:$M$157,$M64,'Invoice &amp; Delivery Log'!$A$8:$A$157,"&lt;"&amp;$A64)+1)</f>
        <v>18</v>
      </c>
    </row>
    <row r="65" customFormat="false" ht="15" hidden="false" customHeight="true" outlineLevel="0" collapsed="false">
      <c r="A65" s="44" t="s">
        <v>433</v>
      </c>
      <c r="B65" s="44" t="s">
        <v>160</v>
      </c>
      <c r="C65" s="59" t="str">
        <f aca="false">IF($B65="","",IFERROR(INDEX('Vendor Master'!$B$8:$B$47,MATCH($B65,'Vendor Master'!$A$8:$A$47,0)),"NOT FOUND"))</f>
        <v>Lakeshore Packaging Group</v>
      </c>
      <c r="D65" s="44" t="s">
        <v>434</v>
      </c>
      <c r="E65" s="45" t="s">
        <v>435</v>
      </c>
      <c r="F65" s="59" t="str">
        <f aca="false">IF($B65="","",IFERROR(INDEX('Vendor Master'!$C$8:$C$47,MATCH($B65,'Vendor Master'!$A$8:$A$47,0)),""))</f>
        <v>Packaging</v>
      </c>
      <c r="G65" s="45" t="s">
        <v>309</v>
      </c>
      <c r="H65" s="56" t="n">
        <v>46259</v>
      </c>
      <c r="I65" s="56" t="n">
        <v>46260</v>
      </c>
      <c r="J65" s="56" t="n">
        <v>46258</v>
      </c>
      <c r="K65" s="44" t="s">
        <v>237</v>
      </c>
      <c r="L65" s="60" t="n">
        <f aca="false">IF($B65="","",IFERROR(INDEX('Vendor Master'!$G$8:$G$47,MATCH($B65,'Vendor Master'!$A$8:$A$47,0)),""))</f>
        <v>30</v>
      </c>
      <c r="M65" s="61" t="n">
        <f aca="false">IF(OR($H65="",$L65=""),"",$H65+$L65)</f>
        <v>46289</v>
      </c>
      <c r="N65" s="58" t="n">
        <v>2545.37</v>
      </c>
      <c r="O65" s="50" t="n">
        <f aca="false">IF($A65="","",SUMIFS('Payments Log'!$F$8:$F$207,'Payments Log'!$B$8:$B$207,$A65))</f>
        <v>0</v>
      </c>
      <c r="P65" s="50" t="n">
        <f aca="false">IF($A65="","",ROUND($N65-$O65,2))</f>
        <v>2545.37</v>
      </c>
      <c r="Q65" s="53" t="str">
        <f aca="false">IF($A65="","",IF(N($N65)&lt;=0,"Check Amount",IF(ROUND($O65,2)&lt;=0,"Unpaid",IF(ROUND($O65-$N65,2)&gt;0,"Overpaid",IF(ROUND($P65,2)&lt;=0,"Paid","Partially Paid")))))</f>
        <v>Unpaid</v>
      </c>
      <c r="R65" s="52" t="n">
        <f aca="false">IF(OR($A65="",$M65=""),"",IF(ROUND($P65,2)&lt;=0,0,MAX(0,Settings!$C$5-$M65-Settings!$C$7)))</f>
        <v>0</v>
      </c>
      <c r="S65" s="50" t="n">
        <f aca="false">IF($A65="","",IF(N($R65)&gt;0,MAX($P65,0),0))</f>
        <v>0</v>
      </c>
      <c r="T65" s="53" t="str">
        <f aca="false">IF($A65="","",IF(ROUND($P65,2)&lt;0,"Supplier Credit",IF(ROUND($P65,2)=0,"Closed",IF($M65="","No Due Date",IF(N($R65)&lt;=0,"Not Due Yet",IF(N($R65)&lt;=Settings!$C$8,"1-30 Days Overdue",IF(N($R65)&lt;=Settings!$C$9,"31-60 Days Overdue",IF(N($R65)&lt;=Settings!$C$10,"61-90 Days Overdue","90+ Days Overdue"))))))))</f>
        <v>Not Due Yet</v>
      </c>
      <c r="U65" s="61" t="str">
        <f aca="false">IF($A65="","",IF(COUNTIFS('Payments Log'!$B$8:$B$207,$A65)=0,"",SUMPRODUCT(MAX(('Payments Log'!$B$8:$B$207=$A65)*'Payments Log'!$E$8:$E$207))))</f>
        <v/>
      </c>
      <c r="V65" s="53" t="str">
        <f aca="false">IF($A65="","",IF($J65="","Not Delivered",IF($I65="","No Target Date",IF($J65&lt;=$I65,"On Time","Late"))))</f>
        <v>On Time</v>
      </c>
      <c r="W65" s="53" t="str">
        <f aca="false">IF($A65="","",IF($X65="","OK","REVIEW"))</f>
        <v>OK</v>
      </c>
      <c r="X65" s="62" t="str">
        <f aca="false">IF($A65="","",TRIM(IF($B65="","Missing vendor ID. ","")&amp;IF($C65="NOT FOUND","Vendor ID not in Vendor Master. ","")&amp;IF(COUNTIFS('Invoice &amp; Delivery Log'!$A$8:$A$157,$A65)&gt;1,"Duplicate invoice ID. ","")&amp;IF(AND($D65&lt;&gt;"",COUNTIFS('Invoice &amp; Delivery Log'!$D$8:$D$157,$D65,'Invoice &amp; Delivery Log'!$B$8:$B$157,$B65)&gt;1),"Duplicate supplier invoice number. ","")&amp;IF($E65="","Missing PO number. ","")&amp;IF($H65="","Missing invoice date. ","")&amp;IF(N($N65)&lt;=0,"Invoice amount must be greater than zero. ","")&amp;IF(AND($H65&lt;&gt;"",$H65&gt;Settings!$C$5),"Invoice date is in the future. ","")&amp;IF(AND($K65="Received in Full",$J65=""),"Missing actual delivery date. ","")&amp;IF(ROUND(N($O65)-N($N65),2)&gt;0,"Payments exceed the invoice amount. ","")&amp;IF(AND($K65="Rejected",N($O65)&gt;0),"Payment made on a rejected delivery. ","")&amp;IF(AND($B65&lt;&gt;"",IFERROR(INDEX('Vendor Master'!$H$8:$H$47,MATCH($B65,'Vendor Master'!$A$8:$A$47,0)),"")="Inactive",ROUND(N($P65),2)&gt;0),"Open balance with an inactive vendor. ","")))</f>
        <v/>
      </c>
      <c r="Y65" s="53" t="str">
        <f aca="false">IF($A65="","",IF(ROUND($P65,2)&gt;0.004,"Yes","No"))</f>
        <v>Yes</v>
      </c>
      <c r="Z65" s="49" t="n">
        <f aca="false">IF(OR($Y65&lt;&gt;"Yes",$M65=""),"",COUNTIFS('Invoice &amp; Delivery Log'!$Y$8:$Y$157,"Yes",'Invoice &amp; Delivery Log'!$M$8:$M$157,"&lt;"&amp;$M65)+COUNTIFS('Invoice &amp; Delivery Log'!$Y$8:$Y$157,"Yes",'Invoice &amp; Delivery Log'!$M$8:$M$157,$M65,'Invoice &amp; Delivery Log'!$A$8:$A$157,"&lt;"&amp;$A65)+1)</f>
        <v>15</v>
      </c>
    </row>
    <row r="66" customFormat="false" ht="15" hidden="false" customHeight="true" outlineLevel="0" collapsed="false">
      <c r="A66" s="44" t="s">
        <v>436</v>
      </c>
      <c r="B66" s="44" t="s">
        <v>141</v>
      </c>
      <c r="C66" s="55" t="str">
        <f aca="false">IF($B66="","",IFERROR(INDEX('Vendor Master'!$B$8:$B$47,MATCH($B66,'Vendor Master'!$A$8:$A$47,0)),"NOT FOUND"))</f>
        <v>Northwind Paper Supply</v>
      </c>
      <c r="D66" s="44" t="s">
        <v>437</v>
      </c>
      <c r="E66" s="45" t="s">
        <v>438</v>
      </c>
      <c r="F66" s="55" t="str">
        <f aca="false">IF($B66="","",IFERROR(INDEX('Vendor Master'!$C$8:$C$47,MATCH($B66,'Vendor Master'!$A$8:$A$47,0)),""))</f>
        <v>Office Supplies</v>
      </c>
      <c r="G66" s="45" t="s">
        <v>293</v>
      </c>
      <c r="H66" s="56" t="n">
        <v>46267</v>
      </c>
      <c r="I66" s="56" t="n">
        <v>46264</v>
      </c>
      <c r="J66" s="56" t="n">
        <v>46266</v>
      </c>
      <c r="K66" s="44" t="s">
        <v>237</v>
      </c>
      <c r="L66" s="57" t="n">
        <f aca="false">IF($B66="","",IFERROR(INDEX('Vendor Master'!$G$8:$G$47,MATCH($B66,'Vendor Master'!$A$8:$A$47,0)),""))</f>
        <v>30</v>
      </c>
      <c r="M66" s="37" t="n">
        <f aca="false">IF(OR($H66="",$L66=""),"",$H66+$L66)</f>
        <v>46297</v>
      </c>
      <c r="N66" s="58" t="n">
        <v>1538.45</v>
      </c>
      <c r="O66" s="30" t="n">
        <f aca="false">IF($A66="","",SUMIFS('Payments Log'!$F$8:$F$207,'Payments Log'!$B$8:$B$207,$A66))</f>
        <v>452.13</v>
      </c>
      <c r="P66" s="30" t="n">
        <f aca="false">IF($A66="","",ROUND($N66-$O66,2))</f>
        <v>1086.32</v>
      </c>
      <c r="Q66" s="36" t="str">
        <f aca="false">IF($A66="","",IF(N($N66)&lt;=0,"Check Amount",IF(ROUND($O66,2)&lt;=0,"Unpaid",IF(ROUND($O66-$N66,2)&gt;0,"Overpaid",IF(ROUND($P66,2)&lt;=0,"Paid","Partially Paid")))))</f>
        <v>Partially Paid</v>
      </c>
      <c r="R66" s="47" t="n">
        <f aca="false">IF(OR($A66="",$M66=""),"",IF(ROUND($P66,2)&lt;=0,0,MAX(0,Settings!$C$5-$M66-Settings!$C$7)))</f>
        <v>0</v>
      </c>
      <c r="S66" s="30" t="n">
        <f aca="false">IF($A66="","",IF(N($R66)&gt;0,MAX($P66,0),0))</f>
        <v>0</v>
      </c>
      <c r="T66" s="36" t="str">
        <f aca="false">IF($A66="","",IF(ROUND($P66,2)&lt;0,"Supplier Credit",IF(ROUND($P66,2)=0,"Closed",IF($M66="","No Due Date",IF(N($R66)&lt;=0,"Not Due Yet",IF(N($R66)&lt;=Settings!$C$8,"1-30 Days Overdue",IF(N($R66)&lt;=Settings!$C$9,"31-60 Days Overdue",IF(N($R66)&lt;=Settings!$C$10,"61-90 Days Overdue","90+ Days Overdue"))))))))</f>
        <v>Not Due Yet</v>
      </c>
      <c r="U66" s="37" t="n">
        <f aca="false">IF($A66="","",IF(COUNTIFS('Payments Log'!$B$8:$B$207,$A66)=0,"",SUMPRODUCT(MAX(('Payments Log'!$B$8:$B$207=$A66)*'Payments Log'!$E$8:$E$207))))</f>
        <v>46272</v>
      </c>
      <c r="V66" s="36" t="str">
        <f aca="false">IF($A66="","",IF($J66="","Not Delivered",IF($I66="","No Target Date",IF($J66&lt;=$I66,"On Time","Late"))))</f>
        <v>Late</v>
      </c>
      <c r="W66" s="36" t="str">
        <f aca="false">IF($A66="","",IF($X66="","OK","REVIEW"))</f>
        <v>OK</v>
      </c>
      <c r="X66" s="28" t="str">
        <f aca="false">IF($A66="","",TRIM(IF($B66="","Missing vendor ID. ","")&amp;IF($C66="NOT FOUND","Vendor ID not in Vendor Master. ","")&amp;IF(COUNTIFS('Invoice &amp; Delivery Log'!$A$8:$A$157,$A66)&gt;1,"Duplicate invoice ID. ","")&amp;IF(AND($D66&lt;&gt;"",COUNTIFS('Invoice &amp; Delivery Log'!$D$8:$D$157,$D66,'Invoice &amp; Delivery Log'!$B$8:$B$157,$B66)&gt;1),"Duplicate supplier invoice number. ","")&amp;IF($E66="","Missing PO number. ","")&amp;IF($H66="","Missing invoice date. ","")&amp;IF(N($N66)&lt;=0,"Invoice amount must be greater than zero. ","")&amp;IF(AND($H66&lt;&gt;"",$H66&gt;Settings!$C$5),"Invoice date is in the future. ","")&amp;IF(AND($K66="Received in Full",$J66=""),"Missing actual delivery date. ","")&amp;IF(ROUND(N($O66)-N($N66),2)&gt;0,"Payments exceed the invoice amount. ","")&amp;IF(AND($K66="Rejected",N($O66)&gt;0),"Payment made on a rejected delivery. ","")&amp;IF(AND($B66&lt;&gt;"",IFERROR(INDEX('Vendor Master'!$H$8:$H$47,MATCH($B66,'Vendor Master'!$A$8:$A$47,0)),"")="Inactive",ROUND(N($P66),2)&gt;0),"Open balance with an inactive vendor. ","")))</f>
        <v/>
      </c>
      <c r="Y66" s="36" t="str">
        <f aca="false">IF($A66="","",IF(ROUND($P66,2)&gt;0.004,"Yes","No"))</f>
        <v>Yes</v>
      </c>
      <c r="Z66" s="29" t="n">
        <f aca="false">IF(OR($Y66&lt;&gt;"Yes",$M66=""),"",COUNTIFS('Invoice &amp; Delivery Log'!$Y$8:$Y$157,"Yes",'Invoice &amp; Delivery Log'!$M$8:$M$157,"&lt;"&amp;$M66)+COUNTIFS('Invoice &amp; Delivery Log'!$Y$8:$Y$157,"Yes",'Invoice &amp; Delivery Log'!$M$8:$M$157,$M66,'Invoice &amp; Delivery Log'!$A$8:$A$157,"&lt;"&amp;$A66)+1)</f>
        <v>16</v>
      </c>
    </row>
    <row r="67" customFormat="false" ht="15" hidden="false" customHeight="true" outlineLevel="0" collapsed="false">
      <c r="A67" s="44" t="s">
        <v>439</v>
      </c>
      <c r="B67" s="44" t="s">
        <v>160</v>
      </c>
      <c r="C67" s="59" t="str">
        <f aca="false">IF($B67="","",IFERROR(INDEX('Vendor Master'!$B$8:$B$47,MATCH($B67,'Vendor Master'!$A$8:$A$47,0)),"NOT FOUND"))</f>
        <v>Lakeshore Packaging Group</v>
      </c>
      <c r="D67" s="44" t="s">
        <v>440</v>
      </c>
      <c r="E67" s="45" t="s">
        <v>441</v>
      </c>
      <c r="F67" s="59" t="str">
        <f aca="false">IF($B67="","",IFERROR(INDEX('Vendor Master'!$C$8:$C$47,MATCH($B67,'Vendor Master'!$A$8:$A$47,0)),""))</f>
        <v>Packaging</v>
      </c>
      <c r="G67" s="45" t="s">
        <v>309</v>
      </c>
      <c r="H67" s="56" t="n">
        <v>46271</v>
      </c>
      <c r="I67" s="56" t="n">
        <v>46269</v>
      </c>
      <c r="J67" s="56" t="n">
        <v>46269</v>
      </c>
      <c r="K67" s="44" t="s">
        <v>237</v>
      </c>
      <c r="L67" s="60" t="n">
        <f aca="false">IF($B67="","",IFERROR(INDEX('Vendor Master'!$G$8:$G$47,MATCH($B67,'Vendor Master'!$A$8:$A$47,0)),""))</f>
        <v>30</v>
      </c>
      <c r="M67" s="61" t="n">
        <f aca="false">IF(OR($H67="",$L67=""),"",$H67+$L67)</f>
        <v>46301</v>
      </c>
      <c r="N67" s="58" t="n">
        <v>1791.7</v>
      </c>
      <c r="O67" s="50" t="n">
        <f aca="false">IF($A67="","",SUMIFS('Payments Log'!$F$8:$F$207,'Payments Log'!$B$8:$B$207,$A67))</f>
        <v>0</v>
      </c>
      <c r="P67" s="50" t="n">
        <f aca="false">IF($A67="","",ROUND($N67-$O67,2))</f>
        <v>1791.7</v>
      </c>
      <c r="Q67" s="53" t="str">
        <f aca="false">IF($A67="","",IF(N($N67)&lt;=0,"Check Amount",IF(ROUND($O67,2)&lt;=0,"Unpaid",IF(ROUND($O67-$N67,2)&gt;0,"Overpaid",IF(ROUND($P67,2)&lt;=0,"Paid","Partially Paid")))))</f>
        <v>Unpaid</v>
      </c>
      <c r="R67" s="52" t="n">
        <f aca="false">IF(OR($A67="",$M67=""),"",IF(ROUND($P67,2)&lt;=0,0,MAX(0,Settings!$C$5-$M67-Settings!$C$7)))</f>
        <v>0</v>
      </c>
      <c r="S67" s="50" t="n">
        <f aca="false">IF($A67="","",IF(N($R67)&gt;0,MAX($P67,0),0))</f>
        <v>0</v>
      </c>
      <c r="T67" s="53" t="str">
        <f aca="false">IF($A67="","",IF(ROUND($P67,2)&lt;0,"Supplier Credit",IF(ROUND($P67,2)=0,"Closed",IF($M67="","No Due Date",IF(N($R67)&lt;=0,"Not Due Yet",IF(N($R67)&lt;=Settings!$C$8,"1-30 Days Overdue",IF(N($R67)&lt;=Settings!$C$9,"31-60 Days Overdue",IF(N($R67)&lt;=Settings!$C$10,"61-90 Days Overdue","90+ Days Overdue"))))))))</f>
        <v>Not Due Yet</v>
      </c>
      <c r="U67" s="61" t="str">
        <f aca="false">IF($A67="","",IF(COUNTIFS('Payments Log'!$B$8:$B$207,$A67)=0,"",SUMPRODUCT(MAX(('Payments Log'!$B$8:$B$207=$A67)*'Payments Log'!$E$8:$E$207))))</f>
        <v/>
      </c>
      <c r="V67" s="53" t="str">
        <f aca="false">IF($A67="","",IF($J67="","Not Delivered",IF($I67="","No Target Date",IF($J67&lt;=$I67,"On Time","Late"))))</f>
        <v>On Time</v>
      </c>
      <c r="W67" s="53" t="str">
        <f aca="false">IF($A67="","",IF($X67="","OK","REVIEW"))</f>
        <v>OK</v>
      </c>
      <c r="X67" s="62" t="str">
        <f aca="false">IF($A67="","",TRIM(IF($B67="","Missing vendor ID. ","")&amp;IF($C67="NOT FOUND","Vendor ID not in Vendor Master. ","")&amp;IF(COUNTIFS('Invoice &amp; Delivery Log'!$A$8:$A$157,$A67)&gt;1,"Duplicate invoice ID. ","")&amp;IF(AND($D67&lt;&gt;"",COUNTIFS('Invoice &amp; Delivery Log'!$D$8:$D$157,$D67,'Invoice &amp; Delivery Log'!$B$8:$B$157,$B67)&gt;1),"Duplicate supplier invoice number. ","")&amp;IF($E67="","Missing PO number. ","")&amp;IF($H67="","Missing invoice date. ","")&amp;IF(N($N67)&lt;=0,"Invoice amount must be greater than zero. ","")&amp;IF(AND($H67&lt;&gt;"",$H67&gt;Settings!$C$5),"Invoice date is in the future. ","")&amp;IF(AND($K67="Received in Full",$J67=""),"Missing actual delivery date. ","")&amp;IF(ROUND(N($O67)-N($N67),2)&gt;0,"Payments exceed the invoice amount. ","")&amp;IF(AND($K67="Rejected",N($O67)&gt;0),"Payment made on a rejected delivery. ","")&amp;IF(AND($B67&lt;&gt;"",IFERROR(INDEX('Vendor Master'!$H$8:$H$47,MATCH($B67,'Vendor Master'!$A$8:$A$47,0)),"")="Inactive",ROUND(N($P67),2)&gt;0),"Open balance with an inactive vendor. ","")))</f>
        <v/>
      </c>
      <c r="Y67" s="53" t="str">
        <f aca="false">IF($A67="","",IF(ROUND($P67,2)&gt;0.004,"Yes","No"))</f>
        <v>Yes</v>
      </c>
      <c r="Z67" s="49" t="n">
        <f aca="false">IF(OR($Y67&lt;&gt;"Yes",$M67=""),"",COUNTIFS('Invoice &amp; Delivery Log'!$Y$8:$Y$157,"Yes",'Invoice &amp; Delivery Log'!$M$8:$M$157,"&lt;"&amp;$M67)+COUNTIFS('Invoice &amp; Delivery Log'!$Y$8:$Y$157,"Yes",'Invoice &amp; Delivery Log'!$M$8:$M$157,$M67,'Invoice &amp; Delivery Log'!$A$8:$A$157,"&lt;"&amp;$A67)+1)</f>
        <v>17</v>
      </c>
    </row>
    <row r="68" customFormat="false" ht="15" hidden="false" customHeight="true" outlineLevel="0" collapsed="false">
      <c r="A68" s="44"/>
      <c r="B68" s="44"/>
      <c r="C68" s="55" t="str">
        <f aca="false">IF($B68="","",IFERROR(INDEX('Vendor Master'!$B$8:$B$47,MATCH($B68,'Vendor Master'!$A$8:$A$47,0)),"NOT FOUND"))</f>
        <v/>
      </c>
      <c r="D68" s="44"/>
      <c r="E68" s="45"/>
      <c r="F68" s="55" t="str">
        <f aca="false">IF($B68="","",IFERROR(INDEX('Vendor Master'!$C$8:$C$47,MATCH($B68,'Vendor Master'!$A$8:$A$47,0)),""))</f>
        <v/>
      </c>
      <c r="G68" s="45"/>
      <c r="H68" s="56"/>
      <c r="I68" s="56"/>
      <c r="J68" s="56"/>
      <c r="K68" s="44"/>
      <c r="L68" s="57" t="str">
        <f aca="false">IF($B68="","",IFERROR(INDEX('Vendor Master'!$G$8:$G$47,MATCH($B68,'Vendor Master'!$A$8:$A$47,0)),""))</f>
        <v/>
      </c>
      <c r="M68" s="37" t="str">
        <f aca="false">IF(OR($H68="",$L68=""),"",$H68+$L68)</f>
        <v/>
      </c>
      <c r="N68" s="58"/>
      <c r="O68" s="30" t="str">
        <f aca="false">IF($A68="","",SUMIFS('Payments Log'!$F$8:$F$207,'Payments Log'!$B$8:$B$207,$A68))</f>
        <v/>
      </c>
      <c r="P68" s="30" t="str">
        <f aca="false">IF($A68="","",ROUND($N68-$O68,2))</f>
        <v/>
      </c>
      <c r="Q68" s="36" t="str">
        <f aca="false">IF($A68="","",IF(N($N68)&lt;=0,"Check Amount",IF(ROUND($O68,2)&lt;=0,"Unpaid",IF(ROUND($O68-$N68,2)&gt;0,"Overpaid",IF(ROUND($P68,2)&lt;=0,"Paid","Partially Paid")))))</f>
        <v/>
      </c>
      <c r="R68" s="47" t="str">
        <f aca="false">IF(OR($A68="",$M68=""),"",IF(ROUND($P68,2)&lt;=0,0,MAX(0,Settings!$C$5-$M68-Settings!$C$7)))</f>
        <v/>
      </c>
      <c r="S68" s="30" t="str">
        <f aca="false">IF($A68="","",IF(N($R68)&gt;0,MAX($P68,0),0))</f>
        <v/>
      </c>
      <c r="T68" s="36" t="str">
        <f aca="false">IF($A68="","",IF(ROUND($P68,2)&lt;0,"Supplier Credit",IF(ROUND($P68,2)=0,"Closed",IF($M68="","No Due Date",IF(N($R68)&lt;=0,"Not Due Yet",IF(N($R68)&lt;=Settings!$C$8,"1-30 Days Overdue",IF(N($R68)&lt;=Settings!$C$9,"31-60 Days Overdue",IF(N($R68)&lt;=Settings!$C$10,"61-90 Days Overdue","90+ Days Overdue"))))))))</f>
        <v/>
      </c>
      <c r="U68" s="37" t="str">
        <f aca="false">IF($A68="","",IF(COUNTIFS('Payments Log'!$B$8:$B$207,$A68)=0,"",SUMPRODUCT(MAX(('Payments Log'!$B$8:$B$207=$A68)*'Payments Log'!$E$8:$E$207))))</f>
        <v/>
      </c>
      <c r="V68" s="36" t="str">
        <f aca="false">IF($A68="","",IF($J68="","Not Delivered",IF($I68="","No Target Date",IF($J68&lt;=$I68,"On Time","Late"))))</f>
        <v/>
      </c>
      <c r="W68" s="36" t="str">
        <f aca="false">IF($A68="","",IF($X68="","OK","REVIEW"))</f>
        <v/>
      </c>
      <c r="X68" s="28" t="str">
        <f aca="false">IF($A68="","",TRIM(IF($B68="","Missing vendor ID. ","")&amp;IF($C68="NOT FOUND","Vendor ID not in Vendor Master. ","")&amp;IF(COUNTIFS('Invoice &amp; Delivery Log'!$A$8:$A$157,$A68)&gt;1,"Duplicate invoice ID. ","")&amp;IF(AND($D68&lt;&gt;"",COUNTIFS('Invoice &amp; Delivery Log'!$D$8:$D$157,$D68,'Invoice &amp; Delivery Log'!$B$8:$B$157,$B68)&gt;1),"Duplicate supplier invoice number. ","")&amp;IF($E68="","Missing PO number. ","")&amp;IF($H68="","Missing invoice date. ","")&amp;IF(N($N68)&lt;=0,"Invoice amount must be greater than zero. ","")&amp;IF(AND($H68&lt;&gt;"",$H68&gt;Settings!$C$5),"Invoice date is in the future. ","")&amp;IF(AND($K68="Received in Full",$J68=""),"Missing actual delivery date. ","")&amp;IF(ROUND(N($O68)-N($N68),2)&gt;0,"Payments exceed the invoice amount. ","")&amp;IF(AND($K68="Rejected",N($O68)&gt;0),"Payment made on a rejected delivery. ","")&amp;IF(AND($B68&lt;&gt;"",IFERROR(INDEX('Vendor Master'!$H$8:$H$47,MATCH($B68,'Vendor Master'!$A$8:$A$47,0)),"")="Inactive",ROUND(N($P68),2)&gt;0),"Open balance with an inactive vendor. ","")))</f>
        <v/>
      </c>
      <c r="Y68" s="36" t="str">
        <f aca="false">IF($A68="","",IF(ROUND($P68,2)&gt;0.004,"Yes","No"))</f>
        <v/>
      </c>
      <c r="Z68" s="29" t="str">
        <f aca="false">IF(OR($Y68&lt;&gt;"Yes",$M68=""),"",COUNTIFS('Invoice &amp; Delivery Log'!$Y$8:$Y$157,"Yes",'Invoice &amp; Delivery Log'!$M$8:$M$157,"&lt;"&amp;$M68)+COUNTIFS('Invoice &amp; Delivery Log'!$Y$8:$Y$157,"Yes",'Invoice &amp; Delivery Log'!$M$8:$M$157,$M68,'Invoice &amp; Delivery Log'!$A$8:$A$157,"&lt;"&amp;$A68)+1)</f>
        <v/>
      </c>
    </row>
    <row r="69" customFormat="false" ht="15" hidden="false" customHeight="true" outlineLevel="0" collapsed="false">
      <c r="A69" s="44"/>
      <c r="B69" s="44"/>
      <c r="C69" s="59" t="str">
        <f aca="false">IF($B69="","",IFERROR(INDEX('Vendor Master'!$B$8:$B$47,MATCH($B69,'Vendor Master'!$A$8:$A$47,0)),"NOT FOUND"))</f>
        <v/>
      </c>
      <c r="D69" s="44"/>
      <c r="E69" s="45"/>
      <c r="F69" s="59" t="str">
        <f aca="false">IF($B69="","",IFERROR(INDEX('Vendor Master'!$C$8:$C$47,MATCH($B69,'Vendor Master'!$A$8:$A$47,0)),""))</f>
        <v/>
      </c>
      <c r="G69" s="45"/>
      <c r="H69" s="56"/>
      <c r="I69" s="56"/>
      <c r="J69" s="56"/>
      <c r="K69" s="44"/>
      <c r="L69" s="60" t="str">
        <f aca="false">IF($B69="","",IFERROR(INDEX('Vendor Master'!$G$8:$G$47,MATCH($B69,'Vendor Master'!$A$8:$A$47,0)),""))</f>
        <v/>
      </c>
      <c r="M69" s="61" t="str">
        <f aca="false">IF(OR($H69="",$L69=""),"",$H69+$L69)</f>
        <v/>
      </c>
      <c r="N69" s="58"/>
      <c r="O69" s="50" t="str">
        <f aca="false">IF($A69="","",SUMIFS('Payments Log'!$F$8:$F$207,'Payments Log'!$B$8:$B$207,$A69))</f>
        <v/>
      </c>
      <c r="P69" s="50" t="str">
        <f aca="false">IF($A69="","",ROUND($N69-$O69,2))</f>
        <v/>
      </c>
      <c r="Q69" s="53" t="str">
        <f aca="false">IF($A69="","",IF(N($N69)&lt;=0,"Check Amount",IF(ROUND($O69,2)&lt;=0,"Unpaid",IF(ROUND($O69-$N69,2)&gt;0,"Overpaid",IF(ROUND($P69,2)&lt;=0,"Paid","Partially Paid")))))</f>
        <v/>
      </c>
      <c r="R69" s="52" t="str">
        <f aca="false">IF(OR($A69="",$M69=""),"",IF(ROUND($P69,2)&lt;=0,0,MAX(0,Settings!$C$5-$M69-Settings!$C$7)))</f>
        <v/>
      </c>
      <c r="S69" s="50" t="str">
        <f aca="false">IF($A69="","",IF(N($R69)&gt;0,MAX($P69,0),0))</f>
        <v/>
      </c>
      <c r="T69" s="53" t="str">
        <f aca="false">IF($A69="","",IF(ROUND($P69,2)&lt;0,"Supplier Credit",IF(ROUND($P69,2)=0,"Closed",IF($M69="","No Due Date",IF(N($R69)&lt;=0,"Not Due Yet",IF(N($R69)&lt;=Settings!$C$8,"1-30 Days Overdue",IF(N($R69)&lt;=Settings!$C$9,"31-60 Days Overdue",IF(N($R69)&lt;=Settings!$C$10,"61-90 Days Overdue","90+ Days Overdue"))))))))</f>
        <v/>
      </c>
      <c r="U69" s="61" t="str">
        <f aca="false">IF($A69="","",IF(COUNTIFS('Payments Log'!$B$8:$B$207,$A69)=0,"",SUMPRODUCT(MAX(('Payments Log'!$B$8:$B$207=$A69)*'Payments Log'!$E$8:$E$207))))</f>
        <v/>
      </c>
      <c r="V69" s="53" t="str">
        <f aca="false">IF($A69="","",IF($J69="","Not Delivered",IF($I69="","No Target Date",IF($J69&lt;=$I69,"On Time","Late"))))</f>
        <v/>
      </c>
      <c r="W69" s="53" t="str">
        <f aca="false">IF($A69="","",IF($X69="","OK","REVIEW"))</f>
        <v/>
      </c>
      <c r="X69" s="62" t="str">
        <f aca="false">IF($A69="","",TRIM(IF($B69="","Missing vendor ID. ","")&amp;IF($C69="NOT FOUND","Vendor ID not in Vendor Master. ","")&amp;IF(COUNTIFS('Invoice &amp; Delivery Log'!$A$8:$A$157,$A69)&gt;1,"Duplicate invoice ID. ","")&amp;IF(AND($D69&lt;&gt;"",COUNTIFS('Invoice &amp; Delivery Log'!$D$8:$D$157,$D69,'Invoice &amp; Delivery Log'!$B$8:$B$157,$B69)&gt;1),"Duplicate supplier invoice number. ","")&amp;IF($E69="","Missing PO number. ","")&amp;IF($H69="","Missing invoice date. ","")&amp;IF(N($N69)&lt;=0,"Invoice amount must be greater than zero. ","")&amp;IF(AND($H69&lt;&gt;"",$H69&gt;Settings!$C$5),"Invoice date is in the future. ","")&amp;IF(AND($K69="Received in Full",$J69=""),"Missing actual delivery date. ","")&amp;IF(ROUND(N($O69)-N($N69),2)&gt;0,"Payments exceed the invoice amount. ","")&amp;IF(AND($K69="Rejected",N($O69)&gt;0),"Payment made on a rejected delivery. ","")&amp;IF(AND($B69&lt;&gt;"",IFERROR(INDEX('Vendor Master'!$H$8:$H$47,MATCH($B69,'Vendor Master'!$A$8:$A$47,0)),"")="Inactive",ROUND(N($P69),2)&gt;0),"Open balance with an inactive vendor. ","")))</f>
        <v/>
      </c>
      <c r="Y69" s="53" t="str">
        <f aca="false">IF($A69="","",IF(ROUND($P69,2)&gt;0.004,"Yes","No"))</f>
        <v/>
      </c>
      <c r="Z69" s="49" t="str">
        <f aca="false">IF(OR($Y69&lt;&gt;"Yes",$M69=""),"",COUNTIFS('Invoice &amp; Delivery Log'!$Y$8:$Y$157,"Yes",'Invoice &amp; Delivery Log'!$M$8:$M$157,"&lt;"&amp;$M69)+COUNTIFS('Invoice &amp; Delivery Log'!$Y$8:$Y$157,"Yes",'Invoice &amp; Delivery Log'!$M$8:$M$157,$M69,'Invoice &amp; Delivery Log'!$A$8:$A$157,"&lt;"&amp;$A69)+1)</f>
        <v/>
      </c>
    </row>
    <row r="70" customFormat="false" ht="15" hidden="false" customHeight="true" outlineLevel="0" collapsed="false">
      <c r="A70" s="44"/>
      <c r="B70" s="44"/>
      <c r="C70" s="55" t="str">
        <f aca="false">IF($B70="","",IFERROR(INDEX('Vendor Master'!$B$8:$B$47,MATCH($B70,'Vendor Master'!$A$8:$A$47,0)),"NOT FOUND"))</f>
        <v/>
      </c>
      <c r="D70" s="44"/>
      <c r="E70" s="45"/>
      <c r="F70" s="55" t="str">
        <f aca="false">IF($B70="","",IFERROR(INDEX('Vendor Master'!$C$8:$C$47,MATCH($B70,'Vendor Master'!$A$8:$A$47,0)),""))</f>
        <v/>
      </c>
      <c r="G70" s="45"/>
      <c r="H70" s="56"/>
      <c r="I70" s="56"/>
      <c r="J70" s="56"/>
      <c r="K70" s="44"/>
      <c r="L70" s="57" t="str">
        <f aca="false">IF($B70="","",IFERROR(INDEX('Vendor Master'!$G$8:$G$47,MATCH($B70,'Vendor Master'!$A$8:$A$47,0)),""))</f>
        <v/>
      </c>
      <c r="M70" s="37" t="str">
        <f aca="false">IF(OR($H70="",$L70=""),"",$H70+$L70)</f>
        <v/>
      </c>
      <c r="N70" s="58"/>
      <c r="O70" s="30" t="str">
        <f aca="false">IF($A70="","",SUMIFS('Payments Log'!$F$8:$F$207,'Payments Log'!$B$8:$B$207,$A70))</f>
        <v/>
      </c>
      <c r="P70" s="30" t="str">
        <f aca="false">IF($A70="","",ROUND($N70-$O70,2))</f>
        <v/>
      </c>
      <c r="Q70" s="36" t="str">
        <f aca="false">IF($A70="","",IF(N($N70)&lt;=0,"Check Amount",IF(ROUND($O70,2)&lt;=0,"Unpaid",IF(ROUND($O70-$N70,2)&gt;0,"Overpaid",IF(ROUND($P70,2)&lt;=0,"Paid","Partially Paid")))))</f>
        <v/>
      </c>
      <c r="R70" s="47" t="str">
        <f aca="false">IF(OR($A70="",$M70=""),"",IF(ROUND($P70,2)&lt;=0,0,MAX(0,Settings!$C$5-$M70-Settings!$C$7)))</f>
        <v/>
      </c>
      <c r="S70" s="30" t="str">
        <f aca="false">IF($A70="","",IF(N($R70)&gt;0,MAX($P70,0),0))</f>
        <v/>
      </c>
      <c r="T70" s="36" t="str">
        <f aca="false">IF($A70="","",IF(ROUND($P70,2)&lt;0,"Supplier Credit",IF(ROUND($P70,2)=0,"Closed",IF($M70="","No Due Date",IF(N($R70)&lt;=0,"Not Due Yet",IF(N($R70)&lt;=Settings!$C$8,"1-30 Days Overdue",IF(N($R70)&lt;=Settings!$C$9,"31-60 Days Overdue",IF(N($R70)&lt;=Settings!$C$10,"61-90 Days Overdue","90+ Days Overdue"))))))))</f>
        <v/>
      </c>
      <c r="U70" s="37" t="str">
        <f aca="false">IF($A70="","",IF(COUNTIFS('Payments Log'!$B$8:$B$207,$A70)=0,"",SUMPRODUCT(MAX(('Payments Log'!$B$8:$B$207=$A70)*'Payments Log'!$E$8:$E$207))))</f>
        <v/>
      </c>
      <c r="V70" s="36" t="str">
        <f aca="false">IF($A70="","",IF($J70="","Not Delivered",IF($I70="","No Target Date",IF($J70&lt;=$I70,"On Time","Late"))))</f>
        <v/>
      </c>
      <c r="W70" s="36" t="str">
        <f aca="false">IF($A70="","",IF($X70="","OK","REVIEW"))</f>
        <v/>
      </c>
      <c r="X70" s="28" t="str">
        <f aca="false">IF($A70="","",TRIM(IF($B70="","Missing vendor ID. ","")&amp;IF($C70="NOT FOUND","Vendor ID not in Vendor Master. ","")&amp;IF(COUNTIFS('Invoice &amp; Delivery Log'!$A$8:$A$157,$A70)&gt;1,"Duplicate invoice ID. ","")&amp;IF(AND($D70&lt;&gt;"",COUNTIFS('Invoice &amp; Delivery Log'!$D$8:$D$157,$D70,'Invoice &amp; Delivery Log'!$B$8:$B$157,$B70)&gt;1),"Duplicate supplier invoice number. ","")&amp;IF($E70="","Missing PO number. ","")&amp;IF($H70="","Missing invoice date. ","")&amp;IF(N($N70)&lt;=0,"Invoice amount must be greater than zero. ","")&amp;IF(AND($H70&lt;&gt;"",$H70&gt;Settings!$C$5),"Invoice date is in the future. ","")&amp;IF(AND($K70="Received in Full",$J70=""),"Missing actual delivery date. ","")&amp;IF(ROUND(N($O70)-N($N70),2)&gt;0,"Payments exceed the invoice amount. ","")&amp;IF(AND($K70="Rejected",N($O70)&gt;0),"Payment made on a rejected delivery. ","")&amp;IF(AND($B70&lt;&gt;"",IFERROR(INDEX('Vendor Master'!$H$8:$H$47,MATCH($B70,'Vendor Master'!$A$8:$A$47,0)),"")="Inactive",ROUND(N($P70),2)&gt;0),"Open balance with an inactive vendor. ","")))</f>
        <v/>
      </c>
      <c r="Y70" s="36" t="str">
        <f aca="false">IF($A70="","",IF(ROUND($P70,2)&gt;0.004,"Yes","No"))</f>
        <v/>
      </c>
      <c r="Z70" s="29" t="str">
        <f aca="false">IF(OR($Y70&lt;&gt;"Yes",$M70=""),"",COUNTIFS('Invoice &amp; Delivery Log'!$Y$8:$Y$157,"Yes",'Invoice &amp; Delivery Log'!$M$8:$M$157,"&lt;"&amp;$M70)+COUNTIFS('Invoice &amp; Delivery Log'!$Y$8:$Y$157,"Yes",'Invoice &amp; Delivery Log'!$M$8:$M$157,$M70,'Invoice &amp; Delivery Log'!$A$8:$A$157,"&lt;"&amp;$A70)+1)</f>
        <v/>
      </c>
    </row>
    <row r="71" customFormat="false" ht="15" hidden="false" customHeight="true" outlineLevel="0" collapsed="false">
      <c r="A71" s="44"/>
      <c r="B71" s="44"/>
      <c r="C71" s="59" t="str">
        <f aca="false">IF($B71="","",IFERROR(INDEX('Vendor Master'!$B$8:$B$47,MATCH($B71,'Vendor Master'!$A$8:$A$47,0)),"NOT FOUND"))</f>
        <v/>
      </c>
      <c r="D71" s="44"/>
      <c r="E71" s="45"/>
      <c r="F71" s="59" t="str">
        <f aca="false">IF($B71="","",IFERROR(INDEX('Vendor Master'!$C$8:$C$47,MATCH($B71,'Vendor Master'!$A$8:$A$47,0)),""))</f>
        <v/>
      </c>
      <c r="G71" s="45"/>
      <c r="H71" s="56"/>
      <c r="I71" s="56"/>
      <c r="J71" s="56"/>
      <c r="K71" s="44"/>
      <c r="L71" s="60" t="str">
        <f aca="false">IF($B71="","",IFERROR(INDEX('Vendor Master'!$G$8:$G$47,MATCH($B71,'Vendor Master'!$A$8:$A$47,0)),""))</f>
        <v/>
      </c>
      <c r="M71" s="61" t="str">
        <f aca="false">IF(OR($H71="",$L71=""),"",$H71+$L71)</f>
        <v/>
      </c>
      <c r="N71" s="58"/>
      <c r="O71" s="50" t="str">
        <f aca="false">IF($A71="","",SUMIFS('Payments Log'!$F$8:$F$207,'Payments Log'!$B$8:$B$207,$A71))</f>
        <v/>
      </c>
      <c r="P71" s="50" t="str">
        <f aca="false">IF($A71="","",ROUND($N71-$O71,2))</f>
        <v/>
      </c>
      <c r="Q71" s="53" t="str">
        <f aca="false">IF($A71="","",IF(N($N71)&lt;=0,"Check Amount",IF(ROUND($O71,2)&lt;=0,"Unpaid",IF(ROUND($O71-$N71,2)&gt;0,"Overpaid",IF(ROUND($P71,2)&lt;=0,"Paid","Partially Paid")))))</f>
        <v/>
      </c>
      <c r="R71" s="52" t="str">
        <f aca="false">IF(OR($A71="",$M71=""),"",IF(ROUND($P71,2)&lt;=0,0,MAX(0,Settings!$C$5-$M71-Settings!$C$7)))</f>
        <v/>
      </c>
      <c r="S71" s="50" t="str">
        <f aca="false">IF($A71="","",IF(N($R71)&gt;0,MAX($P71,0),0))</f>
        <v/>
      </c>
      <c r="T71" s="53" t="str">
        <f aca="false">IF($A71="","",IF(ROUND($P71,2)&lt;0,"Supplier Credit",IF(ROUND($P71,2)=0,"Closed",IF($M71="","No Due Date",IF(N($R71)&lt;=0,"Not Due Yet",IF(N($R71)&lt;=Settings!$C$8,"1-30 Days Overdue",IF(N($R71)&lt;=Settings!$C$9,"31-60 Days Overdue",IF(N($R71)&lt;=Settings!$C$10,"61-90 Days Overdue","90+ Days Overdue"))))))))</f>
        <v/>
      </c>
      <c r="U71" s="61" t="str">
        <f aca="false">IF($A71="","",IF(COUNTIFS('Payments Log'!$B$8:$B$207,$A71)=0,"",SUMPRODUCT(MAX(('Payments Log'!$B$8:$B$207=$A71)*'Payments Log'!$E$8:$E$207))))</f>
        <v/>
      </c>
      <c r="V71" s="53" t="str">
        <f aca="false">IF($A71="","",IF($J71="","Not Delivered",IF($I71="","No Target Date",IF($J71&lt;=$I71,"On Time","Late"))))</f>
        <v/>
      </c>
      <c r="W71" s="53" t="str">
        <f aca="false">IF($A71="","",IF($X71="","OK","REVIEW"))</f>
        <v/>
      </c>
      <c r="X71" s="62" t="str">
        <f aca="false">IF($A71="","",TRIM(IF($B71="","Missing vendor ID. ","")&amp;IF($C71="NOT FOUND","Vendor ID not in Vendor Master. ","")&amp;IF(COUNTIFS('Invoice &amp; Delivery Log'!$A$8:$A$157,$A71)&gt;1,"Duplicate invoice ID. ","")&amp;IF(AND($D71&lt;&gt;"",COUNTIFS('Invoice &amp; Delivery Log'!$D$8:$D$157,$D71,'Invoice &amp; Delivery Log'!$B$8:$B$157,$B71)&gt;1),"Duplicate supplier invoice number. ","")&amp;IF($E71="","Missing PO number. ","")&amp;IF($H71="","Missing invoice date. ","")&amp;IF(N($N71)&lt;=0,"Invoice amount must be greater than zero. ","")&amp;IF(AND($H71&lt;&gt;"",$H71&gt;Settings!$C$5),"Invoice date is in the future. ","")&amp;IF(AND($K71="Received in Full",$J71=""),"Missing actual delivery date. ","")&amp;IF(ROUND(N($O71)-N($N71),2)&gt;0,"Payments exceed the invoice amount. ","")&amp;IF(AND($K71="Rejected",N($O71)&gt;0),"Payment made on a rejected delivery. ","")&amp;IF(AND($B71&lt;&gt;"",IFERROR(INDEX('Vendor Master'!$H$8:$H$47,MATCH($B71,'Vendor Master'!$A$8:$A$47,0)),"")="Inactive",ROUND(N($P71),2)&gt;0),"Open balance with an inactive vendor. ","")))</f>
        <v/>
      </c>
      <c r="Y71" s="53" t="str">
        <f aca="false">IF($A71="","",IF(ROUND($P71,2)&gt;0.004,"Yes","No"))</f>
        <v/>
      </c>
      <c r="Z71" s="49" t="str">
        <f aca="false">IF(OR($Y71&lt;&gt;"Yes",$M71=""),"",COUNTIFS('Invoice &amp; Delivery Log'!$Y$8:$Y$157,"Yes",'Invoice &amp; Delivery Log'!$M$8:$M$157,"&lt;"&amp;$M71)+COUNTIFS('Invoice &amp; Delivery Log'!$Y$8:$Y$157,"Yes",'Invoice &amp; Delivery Log'!$M$8:$M$157,$M71,'Invoice &amp; Delivery Log'!$A$8:$A$157,"&lt;"&amp;$A71)+1)</f>
        <v/>
      </c>
    </row>
    <row r="72" customFormat="false" ht="15" hidden="false" customHeight="true" outlineLevel="0" collapsed="false">
      <c r="A72" s="44"/>
      <c r="B72" s="44"/>
      <c r="C72" s="55" t="str">
        <f aca="false">IF($B72="","",IFERROR(INDEX('Vendor Master'!$B$8:$B$47,MATCH($B72,'Vendor Master'!$A$8:$A$47,0)),"NOT FOUND"))</f>
        <v/>
      </c>
      <c r="D72" s="44"/>
      <c r="E72" s="45"/>
      <c r="F72" s="55" t="str">
        <f aca="false">IF($B72="","",IFERROR(INDEX('Vendor Master'!$C$8:$C$47,MATCH($B72,'Vendor Master'!$A$8:$A$47,0)),""))</f>
        <v/>
      </c>
      <c r="G72" s="45"/>
      <c r="H72" s="56"/>
      <c r="I72" s="56"/>
      <c r="J72" s="56"/>
      <c r="K72" s="44"/>
      <c r="L72" s="57" t="str">
        <f aca="false">IF($B72="","",IFERROR(INDEX('Vendor Master'!$G$8:$G$47,MATCH($B72,'Vendor Master'!$A$8:$A$47,0)),""))</f>
        <v/>
      </c>
      <c r="M72" s="37" t="str">
        <f aca="false">IF(OR($H72="",$L72=""),"",$H72+$L72)</f>
        <v/>
      </c>
      <c r="N72" s="58"/>
      <c r="O72" s="30" t="str">
        <f aca="false">IF($A72="","",SUMIFS('Payments Log'!$F$8:$F$207,'Payments Log'!$B$8:$B$207,$A72))</f>
        <v/>
      </c>
      <c r="P72" s="30" t="str">
        <f aca="false">IF($A72="","",ROUND($N72-$O72,2))</f>
        <v/>
      </c>
      <c r="Q72" s="36" t="str">
        <f aca="false">IF($A72="","",IF(N($N72)&lt;=0,"Check Amount",IF(ROUND($O72,2)&lt;=0,"Unpaid",IF(ROUND($O72-$N72,2)&gt;0,"Overpaid",IF(ROUND($P72,2)&lt;=0,"Paid","Partially Paid")))))</f>
        <v/>
      </c>
      <c r="R72" s="47" t="str">
        <f aca="false">IF(OR($A72="",$M72=""),"",IF(ROUND($P72,2)&lt;=0,0,MAX(0,Settings!$C$5-$M72-Settings!$C$7)))</f>
        <v/>
      </c>
      <c r="S72" s="30" t="str">
        <f aca="false">IF($A72="","",IF(N($R72)&gt;0,MAX($P72,0),0))</f>
        <v/>
      </c>
      <c r="T72" s="36" t="str">
        <f aca="false">IF($A72="","",IF(ROUND($P72,2)&lt;0,"Supplier Credit",IF(ROUND($P72,2)=0,"Closed",IF($M72="","No Due Date",IF(N($R72)&lt;=0,"Not Due Yet",IF(N($R72)&lt;=Settings!$C$8,"1-30 Days Overdue",IF(N($R72)&lt;=Settings!$C$9,"31-60 Days Overdue",IF(N($R72)&lt;=Settings!$C$10,"61-90 Days Overdue","90+ Days Overdue"))))))))</f>
        <v/>
      </c>
      <c r="U72" s="37" t="str">
        <f aca="false">IF($A72="","",IF(COUNTIFS('Payments Log'!$B$8:$B$207,$A72)=0,"",SUMPRODUCT(MAX(('Payments Log'!$B$8:$B$207=$A72)*'Payments Log'!$E$8:$E$207))))</f>
        <v/>
      </c>
      <c r="V72" s="36" t="str">
        <f aca="false">IF($A72="","",IF($J72="","Not Delivered",IF($I72="","No Target Date",IF($J72&lt;=$I72,"On Time","Late"))))</f>
        <v/>
      </c>
      <c r="W72" s="36" t="str">
        <f aca="false">IF($A72="","",IF($X72="","OK","REVIEW"))</f>
        <v/>
      </c>
      <c r="X72" s="28" t="str">
        <f aca="false">IF($A72="","",TRIM(IF($B72="","Missing vendor ID. ","")&amp;IF($C72="NOT FOUND","Vendor ID not in Vendor Master. ","")&amp;IF(COUNTIFS('Invoice &amp; Delivery Log'!$A$8:$A$157,$A72)&gt;1,"Duplicate invoice ID. ","")&amp;IF(AND($D72&lt;&gt;"",COUNTIFS('Invoice &amp; Delivery Log'!$D$8:$D$157,$D72,'Invoice &amp; Delivery Log'!$B$8:$B$157,$B72)&gt;1),"Duplicate supplier invoice number. ","")&amp;IF($E72="","Missing PO number. ","")&amp;IF($H72="","Missing invoice date. ","")&amp;IF(N($N72)&lt;=0,"Invoice amount must be greater than zero. ","")&amp;IF(AND($H72&lt;&gt;"",$H72&gt;Settings!$C$5),"Invoice date is in the future. ","")&amp;IF(AND($K72="Received in Full",$J72=""),"Missing actual delivery date. ","")&amp;IF(ROUND(N($O72)-N($N72),2)&gt;0,"Payments exceed the invoice amount. ","")&amp;IF(AND($K72="Rejected",N($O72)&gt;0),"Payment made on a rejected delivery. ","")&amp;IF(AND($B72&lt;&gt;"",IFERROR(INDEX('Vendor Master'!$H$8:$H$47,MATCH($B72,'Vendor Master'!$A$8:$A$47,0)),"")="Inactive",ROUND(N($P72),2)&gt;0),"Open balance with an inactive vendor. ","")))</f>
        <v/>
      </c>
      <c r="Y72" s="36" t="str">
        <f aca="false">IF($A72="","",IF(ROUND($P72,2)&gt;0.004,"Yes","No"))</f>
        <v/>
      </c>
      <c r="Z72" s="29" t="str">
        <f aca="false">IF(OR($Y72&lt;&gt;"Yes",$M72=""),"",COUNTIFS('Invoice &amp; Delivery Log'!$Y$8:$Y$157,"Yes",'Invoice &amp; Delivery Log'!$M$8:$M$157,"&lt;"&amp;$M72)+COUNTIFS('Invoice &amp; Delivery Log'!$Y$8:$Y$157,"Yes",'Invoice &amp; Delivery Log'!$M$8:$M$157,$M72,'Invoice &amp; Delivery Log'!$A$8:$A$157,"&lt;"&amp;$A72)+1)</f>
        <v/>
      </c>
    </row>
    <row r="73" customFormat="false" ht="15" hidden="false" customHeight="true" outlineLevel="0" collapsed="false">
      <c r="A73" s="44"/>
      <c r="B73" s="44"/>
      <c r="C73" s="59" t="str">
        <f aca="false">IF($B73="","",IFERROR(INDEX('Vendor Master'!$B$8:$B$47,MATCH($B73,'Vendor Master'!$A$8:$A$47,0)),"NOT FOUND"))</f>
        <v/>
      </c>
      <c r="D73" s="44"/>
      <c r="E73" s="45"/>
      <c r="F73" s="59" t="str">
        <f aca="false">IF($B73="","",IFERROR(INDEX('Vendor Master'!$C$8:$C$47,MATCH($B73,'Vendor Master'!$A$8:$A$47,0)),""))</f>
        <v/>
      </c>
      <c r="G73" s="45"/>
      <c r="H73" s="56"/>
      <c r="I73" s="56"/>
      <c r="J73" s="56"/>
      <c r="K73" s="44"/>
      <c r="L73" s="60" t="str">
        <f aca="false">IF($B73="","",IFERROR(INDEX('Vendor Master'!$G$8:$G$47,MATCH($B73,'Vendor Master'!$A$8:$A$47,0)),""))</f>
        <v/>
      </c>
      <c r="M73" s="61" t="str">
        <f aca="false">IF(OR($H73="",$L73=""),"",$H73+$L73)</f>
        <v/>
      </c>
      <c r="N73" s="58"/>
      <c r="O73" s="50" t="str">
        <f aca="false">IF($A73="","",SUMIFS('Payments Log'!$F$8:$F$207,'Payments Log'!$B$8:$B$207,$A73))</f>
        <v/>
      </c>
      <c r="P73" s="50" t="str">
        <f aca="false">IF($A73="","",ROUND($N73-$O73,2))</f>
        <v/>
      </c>
      <c r="Q73" s="53" t="str">
        <f aca="false">IF($A73="","",IF(N($N73)&lt;=0,"Check Amount",IF(ROUND($O73,2)&lt;=0,"Unpaid",IF(ROUND($O73-$N73,2)&gt;0,"Overpaid",IF(ROUND($P73,2)&lt;=0,"Paid","Partially Paid")))))</f>
        <v/>
      </c>
      <c r="R73" s="52" t="str">
        <f aca="false">IF(OR($A73="",$M73=""),"",IF(ROUND($P73,2)&lt;=0,0,MAX(0,Settings!$C$5-$M73-Settings!$C$7)))</f>
        <v/>
      </c>
      <c r="S73" s="50" t="str">
        <f aca="false">IF($A73="","",IF(N($R73)&gt;0,MAX($P73,0),0))</f>
        <v/>
      </c>
      <c r="T73" s="53" t="str">
        <f aca="false">IF($A73="","",IF(ROUND($P73,2)&lt;0,"Supplier Credit",IF(ROUND($P73,2)=0,"Closed",IF($M73="","No Due Date",IF(N($R73)&lt;=0,"Not Due Yet",IF(N($R73)&lt;=Settings!$C$8,"1-30 Days Overdue",IF(N($R73)&lt;=Settings!$C$9,"31-60 Days Overdue",IF(N($R73)&lt;=Settings!$C$10,"61-90 Days Overdue","90+ Days Overdue"))))))))</f>
        <v/>
      </c>
      <c r="U73" s="61" t="str">
        <f aca="false">IF($A73="","",IF(COUNTIFS('Payments Log'!$B$8:$B$207,$A73)=0,"",SUMPRODUCT(MAX(('Payments Log'!$B$8:$B$207=$A73)*'Payments Log'!$E$8:$E$207))))</f>
        <v/>
      </c>
      <c r="V73" s="53" t="str">
        <f aca="false">IF($A73="","",IF($J73="","Not Delivered",IF($I73="","No Target Date",IF($J73&lt;=$I73,"On Time","Late"))))</f>
        <v/>
      </c>
      <c r="W73" s="53" t="str">
        <f aca="false">IF($A73="","",IF($X73="","OK","REVIEW"))</f>
        <v/>
      </c>
      <c r="X73" s="62" t="str">
        <f aca="false">IF($A73="","",TRIM(IF($B73="","Missing vendor ID. ","")&amp;IF($C73="NOT FOUND","Vendor ID not in Vendor Master. ","")&amp;IF(COUNTIFS('Invoice &amp; Delivery Log'!$A$8:$A$157,$A73)&gt;1,"Duplicate invoice ID. ","")&amp;IF(AND($D73&lt;&gt;"",COUNTIFS('Invoice &amp; Delivery Log'!$D$8:$D$157,$D73,'Invoice &amp; Delivery Log'!$B$8:$B$157,$B73)&gt;1),"Duplicate supplier invoice number. ","")&amp;IF($E73="","Missing PO number. ","")&amp;IF($H73="","Missing invoice date. ","")&amp;IF(N($N73)&lt;=0,"Invoice amount must be greater than zero. ","")&amp;IF(AND($H73&lt;&gt;"",$H73&gt;Settings!$C$5),"Invoice date is in the future. ","")&amp;IF(AND($K73="Received in Full",$J73=""),"Missing actual delivery date. ","")&amp;IF(ROUND(N($O73)-N($N73),2)&gt;0,"Payments exceed the invoice amount. ","")&amp;IF(AND($K73="Rejected",N($O73)&gt;0),"Payment made on a rejected delivery. ","")&amp;IF(AND($B73&lt;&gt;"",IFERROR(INDEX('Vendor Master'!$H$8:$H$47,MATCH($B73,'Vendor Master'!$A$8:$A$47,0)),"")="Inactive",ROUND(N($P73),2)&gt;0),"Open balance with an inactive vendor. ","")))</f>
        <v/>
      </c>
      <c r="Y73" s="53" t="str">
        <f aca="false">IF($A73="","",IF(ROUND($P73,2)&gt;0.004,"Yes","No"))</f>
        <v/>
      </c>
      <c r="Z73" s="49" t="str">
        <f aca="false">IF(OR($Y73&lt;&gt;"Yes",$M73=""),"",COUNTIFS('Invoice &amp; Delivery Log'!$Y$8:$Y$157,"Yes",'Invoice &amp; Delivery Log'!$M$8:$M$157,"&lt;"&amp;$M73)+COUNTIFS('Invoice &amp; Delivery Log'!$Y$8:$Y$157,"Yes",'Invoice &amp; Delivery Log'!$M$8:$M$157,$M73,'Invoice &amp; Delivery Log'!$A$8:$A$157,"&lt;"&amp;$A73)+1)</f>
        <v/>
      </c>
    </row>
    <row r="74" customFormat="false" ht="15" hidden="false" customHeight="true" outlineLevel="0" collapsed="false">
      <c r="A74" s="44"/>
      <c r="B74" s="44"/>
      <c r="C74" s="55" t="str">
        <f aca="false">IF($B74="","",IFERROR(INDEX('Vendor Master'!$B$8:$B$47,MATCH($B74,'Vendor Master'!$A$8:$A$47,0)),"NOT FOUND"))</f>
        <v/>
      </c>
      <c r="D74" s="44"/>
      <c r="E74" s="45"/>
      <c r="F74" s="55" t="str">
        <f aca="false">IF($B74="","",IFERROR(INDEX('Vendor Master'!$C$8:$C$47,MATCH($B74,'Vendor Master'!$A$8:$A$47,0)),""))</f>
        <v/>
      </c>
      <c r="G74" s="45"/>
      <c r="H74" s="56"/>
      <c r="I74" s="56"/>
      <c r="J74" s="56"/>
      <c r="K74" s="44"/>
      <c r="L74" s="57" t="str">
        <f aca="false">IF($B74="","",IFERROR(INDEX('Vendor Master'!$G$8:$G$47,MATCH($B74,'Vendor Master'!$A$8:$A$47,0)),""))</f>
        <v/>
      </c>
      <c r="M74" s="37" t="str">
        <f aca="false">IF(OR($H74="",$L74=""),"",$H74+$L74)</f>
        <v/>
      </c>
      <c r="N74" s="58"/>
      <c r="O74" s="30" t="str">
        <f aca="false">IF($A74="","",SUMIFS('Payments Log'!$F$8:$F$207,'Payments Log'!$B$8:$B$207,$A74))</f>
        <v/>
      </c>
      <c r="P74" s="30" t="str">
        <f aca="false">IF($A74="","",ROUND($N74-$O74,2))</f>
        <v/>
      </c>
      <c r="Q74" s="36" t="str">
        <f aca="false">IF($A74="","",IF(N($N74)&lt;=0,"Check Amount",IF(ROUND($O74,2)&lt;=0,"Unpaid",IF(ROUND($O74-$N74,2)&gt;0,"Overpaid",IF(ROUND($P74,2)&lt;=0,"Paid","Partially Paid")))))</f>
        <v/>
      </c>
      <c r="R74" s="47" t="str">
        <f aca="false">IF(OR($A74="",$M74=""),"",IF(ROUND($P74,2)&lt;=0,0,MAX(0,Settings!$C$5-$M74-Settings!$C$7)))</f>
        <v/>
      </c>
      <c r="S74" s="30" t="str">
        <f aca="false">IF($A74="","",IF(N($R74)&gt;0,MAX($P74,0),0))</f>
        <v/>
      </c>
      <c r="T74" s="36" t="str">
        <f aca="false">IF($A74="","",IF(ROUND($P74,2)&lt;0,"Supplier Credit",IF(ROUND($P74,2)=0,"Closed",IF($M74="","No Due Date",IF(N($R74)&lt;=0,"Not Due Yet",IF(N($R74)&lt;=Settings!$C$8,"1-30 Days Overdue",IF(N($R74)&lt;=Settings!$C$9,"31-60 Days Overdue",IF(N($R74)&lt;=Settings!$C$10,"61-90 Days Overdue","90+ Days Overdue"))))))))</f>
        <v/>
      </c>
      <c r="U74" s="37" t="str">
        <f aca="false">IF($A74="","",IF(COUNTIFS('Payments Log'!$B$8:$B$207,$A74)=0,"",SUMPRODUCT(MAX(('Payments Log'!$B$8:$B$207=$A74)*'Payments Log'!$E$8:$E$207))))</f>
        <v/>
      </c>
      <c r="V74" s="36" t="str">
        <f aca="false">IF($A74="","",IF($J74="","Not Delivered",IF($I74="","No Target Date",IF($J74&lt;=$I74,"On Time","Late"))))</f>
        <v/>
      </c>
      <c r="W74" s="36" t="str">
        <f aca="false">IF($A74="","",IF($X74="","OK","REVIEW"))</f>
        <v/>
      </c>
      <c r="X74" s="28" t="str">
        <f aca="false">IF($A74="","",TRIM(IF($B74="","Missing vendor ID. ","")&amp;IF($C74="NOT FOUND","Vendor ID not in Vendor Master. ","")&amp;IF(COUNTIFS('Invoice &amp; Delivery Log'!$A$8:$A$157,$A74)&gt;1,"Duplicate invoice ID. ","")&amp;IF(AND($D74&lt;&gt;"",COUNTIFS('Invoice &amp; Delivery Log'!$D$8:$D$157,$D74,'Invoice &amp; Delivery Log'!$B$8:$B$157,$B74)&gt;1),"Duplicate supplier invoice number. ","")&amp;IF($E74="","Missing PO number. ","")&amp;IF($H74="","Missing invoice date. ","")&amp;IF(N($N74)&lt;=0,"Invoice amount must be greater than zero. ","")&amp;IF(AND($H74&lt;&gt;"",$H74&gt;Settings!$C$5),"Invoice date is in the future. ","")&amp;IF(AND($K74="Received in Full",$J74=""),"Missing actual delivery date. ","")&amp;IF(ROUND(N($O74)-N($N74),2)&gt;0,"Payments exceed the invoice amount. ","")&amp;IF(AND($K74="Rejected",N($O74)&gt;0),"Payment made on a rejected delivery. ","")&amp;IF(AND($B74&lt;&gt;"",IFERROR(INDEX('Vendor Master'!$H$8:$H$47,MATCH($B74,'Vendor Master'!$A$8:$A$47,0)),"")="Inactive",ROUND(N($P74),2)&gt;0),"Open balance with an inactive vendor. ","")))</f>
        <v/>
      </c>
      <c r="Y74" s="36" t="str">
        <f aca="false">IF($A74="","",IF(ROUND($P74,2)&gt;0.004,"Yes","No"))</f>
        <v/>
      </c>
      <c r="Z74" s="29" t="str">
        <f aca="false">IF(OR($Y74&lt;&gt;"Yes",$M74=""),"",COUNTIFS('Invoice &amp; Delivery Log'!$Y$8:$Y$157,"Yes",'Invoice &amp; Delivery Log'!$M$8:$M$157,"&lt;"&amp;$M74)+COUNTIFS('Invoice &amp; Delivery Log'!$Y$8:$Y$157,"Yes",'Invoice &amp; Delivery Log'!$M$8:$M$157,$M74,'Invoice &amp; Delivery Log'!$A$8:$A$157,"&lt;"&amp;$A74)+1)</f>
        <v/>
      </c>
    </row>
    <row r="75" customFormat="false" ht="15" hidden="false" customHeight="true" outlineLevel="0" collapsed="false">
      <c r="A75" s="44"/>
      <c r="B75" s="44"/>
      <c r="C75" s="59" t="str">
        <f aca="false">IF($B75="","",IFERROR(INDEX('Vendor Master'!$B$8:$B$47,MATCH($B75,'Vendor Master'!$A$8:$A$47,0)),"NOT FOUND"))</f>
        <v/>
      </c>
      <c r="D75" s="44"/>
      <c r="E75" s="45"/>
      <c r="F75" s="59" t="str">
        <f aca="false">IF($B75="","",IFERROR(INDEX('Vendor Master'!$C$8:$C$47,MATCH($B75,'Vendor Master'!$A$8:$A$47,0)),""))</f>
        <v/>
      </c>
      <c r="G75" s="45"/>
      <c r="H75" s="56"/>
      <c r="I75" s="56"/>
      <c r="J75" s="56"/>
      <c r="K75" s="44"/>
      <c r="L75" s="60" t="str">
        <f aca="false">IF($B75="","",IFERROR(INDEX('Vendor Master'!$G$8:$G$47,MATCH($B75,'Vendor Master'!$A$8:$A$47,0)),""))</f>
        <v/>
      </c>
      <c r="M75" s="61" t="str">
        <f aca="false">IF(OR($H75="",$L75=""),"",$H75+$L75)</f>
        <v/>
      </c>
      <c r="N75" s="58"/>
      <c r="O75" s="50" t="str">
        <f aca="false">IF($A75="","",SUMIFS('Payments Log'!$F$8:$F$207,'Payments Log'!$B$8:$B$207,$A75))</f>
        <v/>
      </c>
      <c r="P75" s="50" t="str">
        <f aca="false">IF($A75="","",ROUND($N75-$O75,2))</f>
        <v/>
      </c>
      <c r="Q75" s="53" t="str">
        <f aca="false">IF($A75="","",IF(N($N75)&lt;=0,"Check Amount",IF(ROUND($O75,2)&lt;=0,"Unpaid",IF(ROUND($O75-$N75,2)&gt;0,"Overpaid",IF(ROUND($P75,2)&lt;=0,"Paid","Partially Paid")))))</f>
        <v/>
      </c>
      <c r="R75" s="52" t="str">
        <f aca="false">IF(OR($A75="",$M75=""),"",IF(ROUND($P75,2)&lt;=0,0,MAX(0,Settings!$C$5-$M75-Settings!$C$7)))</f>
        <v/>
      </c>
      <c r="S75" s="50" t="str">
        <f aca="false">IF($A75="","",IF(N($R75)&gt;0,MAX($P75,0),0))</f>
        <v/>
      </c>
      <c r="T75" s="53" t="str">
        <f aca="false">IF($A75="","",IF(ROUND($P75,2)&lt;0,"Supplier Credit",IF(ROUND($P75,2)=0,"Closed",IF($M75="","No Due Date",IF(N($R75)&lt;=0,"Not Due Yet",IF(N($R75)&lt;=Settings!$C$8,"1-30 Days Overdue",IF(N($R75)&lt;=Settings!$C$9,"31-60 Days Overdue",IF(N($R75)&lt;=Settings!$C$10,"61-90 Days Overdue","90+ Days Overdue"))))))))</f>
        <v/>
      </c>
      <c r="U75" s="61" t="str">
        <f aca="false">IF($A75="","",IF(COUNTIFS('Payments Log'!$B$8:$B$207,$A75)=0,"",SUMPRODUCT(MAX(('Payments Log'!$B$8:$B$207=$A75)*'Payments Log'!$E$8:$E$207))))</f>
        <v/>
      </c>
      <c r="V75" s="53" t="str">
        <f aca="false">IF($A75="","",IF($J75="","Not Delivered",IF($I75="","No Target Date",IF($J75&lt;=$I75,"On Time","Late"))))</f>
        <v/>
      </c>
      <c r="W75" s="53" t="str">
        <f aca="false">IF($A75="","",IF($X75="","OK","REVIEW"))</f>
        <v/>
      </c>
      <c r="X75" s="62" t="str">
        <f aca="false">IF($A75="","",TRIM(IF($B75="","Missing vendor ID. ","")&amp;IF($C75="NOT FOUND","Vendor ID not in Vendor Master. ","")&amp;IF(COUNTIFS('Invoice &amp; Delivery Log'!$A$8:$A$157,$A75)&gt;1,"Duplicate invoice ID. ","")&amp;IF(AND($D75&lt;&gt;"",COUNTIFS('Invoice &amp; Delivery Log'!$D$8:$D$157,$D75,'Invoice &amp; Delivery Log'!$B$8:$B$157,$B75)&gt;1),"Duplicate supplier invoice number. ","")&amp;IF($E75="","Missing PO number. ","")&amp;IF($H75="","Missing invoice date. ","")&amp;IF(N($N75)&lt;=0,"Invoice amount must be greater than zero. ","")&amp;IF(AND($H75&lt;&gt;"",$H75&gt;Settings!$C$5),"Invoice date is in the future. ","")&amp;IF(AND($K75="Received in Full",$J75=""),"Missing actual delivery date. ","")&amp;IF(ROUND(N($O75)-N($N75),2)&gt;0,"Payments exceed the invoice amount. ","")&amp;IF(AND($K75="Rejected",N($O75)&gt;0),"Payment made on a rejected delivery. ","")&amp;IF(AND($B75&lt;&gt;"",IFERROR(INDEX('Vendor Master'!$H$8:$H$47,MATCH($B75,'Vendor Master'!$A$8:$A$47,0)),"")="Inactive",ROUND(N($P75),2)&gt;0),"Open balance with an inactive vendor. ","")))</f>
        <v/>
      </c>
      <c r="Y75" s="53" t="str">
        <f aca="false">IF($A75="","",IF(ROUND($P75,2)&gt;0.004,"Yes","No"))</f>
        <v/>
      </c>
      <c r="Z75" s="49" t="str">
        <f aca="false">IF(OR($Y75&lt;&gt;"Yes",$M75=""),"",COUNTIFS('Invoice &amp; Delivery Log'!$Y$8:$Y$157,"Yes",'Invoice &amp; Delivery Log'!$M$8:$M$157,"&lt;"&amp;$M75)+COUNTIFS('Invoice &amp; Delivery Log'!$Y$8:$Y$157,"Yes",'Invoice &amp; Delivery Log'!$M$8:$M$157,$M75,'Invoice &amp; Delivery Log'!$A$8:$A$157,"&lt;"&amp;$A75)+1)</f>
        <v/>
      </c>
    </row>
    <row r="76" customFormat="false" ht="15" hidden="false" customHeight="true" outlineLevel="0" collapsed="false">
      <c r="A76" s="44"/>
      <c r="B76" s="44"/>
      <c r="C76" s="55" t="str">
        <f aca="false">IF($B76="","",IFERROR(INDEX('Vendor Master'!$B$8:$B$47,MATCH($B76,'Vendor Master'!$A$8:$A$47,0)),"NOT FOUND"))</f>
        <v/>
      </c>
      <c r="D76" s="44"/>
      <c r="E76" s="45"/>
      <c r="F76" s="55" t="str">
        <f aca="false">IF($B76="","",IFERROR(INDEX('Vendor Master'!$C$8:$C$47,MATCH($B76,'Vendor Master'!$A$8:$A$47,0)),""))</f>
        <v/>
      </c>
      <c r="G76" s="45"/>
      <c r="H76" s="56"/>
      <c r="I76" s="56"/>
      <c r="J76" s="56"/>
      <c r="K76" s="44"/>
      <c r="L76" s="57" t="str">
        <f aca="false">IF($B76="","",IFERROR(INDEX('Vendor Master'!$G$8:$G$47,MATCH($B76,'Vendor Master'!$A$8:$A$47,0)),""))</f>
        <v/>
      </c>
      <c r="M76" s="37" t="str">
        <f aca="false">IF(OR($H76="",$L76=""),"",$H76+$L76)</f>
        <v/>
      </c>
      <c r="N76" s="58"/>
      <c r="O76" s="30" t="str">
        <f aca="false">IF($A76="","",SUMIFS('Payments Log'!$F$8:$F$207,'Payments Log'!$B$8:$B$207,$A76))</f>
        <v/>
      </c>
      <c r="P76" s="30" t="str">
        <f aca="false">IF($A76="","",ROUND($N76-$O76,2))</f>
        <v/>
      </c>
      <c r="Q76" s="36" t="str">
        <f aca="false">IF($A76="","",IF(N($N76)&lt;=0,"Check Amount",IF(ROUND($O76,2)&lt;=0,"Unpaid",IF(ROUND($O76-$N76,2)&gt;0,"Overpaid",IF(ROUND($P76,2)&lt;=0,"Paid","Partially Paid")))))</f>
        <v/>
      </c>
      <c r="R76" s="47" t="str">
        <f aca="false">IF(OR($A76="",$M76=""),"",IF(ROUND($P76,2)&lt;=0,0,MAX(0,Settings!$C$5-$M76-Settings!$C$7)))</f>
        <v/>
      </c>
      <c r="S76" s="30" t="str">
        <f aca="false">IF($A76="","",IF(N($R76)&gt;0,MAX($P76,0),0))</f>
        <v/>
      </c>
      <c r="T76" s="36" t="str">
        <f aca="false">IF($A76="","",IF(ROUND($P76,2)&lt;0,"Supplier Credit",IF(ROUND($P76,2)=0,"Closed",IF($M76="","No Due Date",IF(N($R76)&lt;=0,"Not Due Yet",IF(N($R76)&lt;=Settings!$C$8,"1-30 Days Overdue",IF(N($R76)&lt;=Settings!$C$9,"31-60 Days Overdue",IF(N($R76)&lt;=Settings!$C$10,"61-90 Days Overdue","90+ Days Overdue"))))))))</f>
        <v/>
      </c>
      <c r="U76" s="37" t="str">
        <f aca="false">IF($A76="","",IF(COUNTIFS('Payments Log'!$B$8:$B$207,$A76)=0,"",SUMPRODUCT(MAX(('Payments Log'!$B$8:$B$207=$A76)*'Payments Log'!$E$8:$E$207))))</f>
        <v/>
      </c>
      <c r="V76" s="36" t="str">
        <f aca="false">IF($A76="","",IF($J76="","Not Delivered",IF($I76="","No Target Date",IF($J76&lt;=$I76,"On Time","Late"))))</f>
        <v/>
      </c>
      <c r="W76" s="36" t="str">
        <f aca="false">IF($A76="","",IF($X76="","OK","REVIEW"))</f>
        <v/>
      </c>
      <c r="X76" s="28" t="str">
        <f aca="false">IF($A76="","",TRIM(IF($B76="","Missing vendor ID. ","")&amp;IF($C76="NOT FOUND","Vendor ID not in Vendor Master. ","")&amp;IF(COUNTIFS('Invoice &amp; Delivery Log'!$A$8:$A$157,$A76)&gt;1,"Duplicate invoice ID. ","")&amp;IF(AND($D76&lt;&gt;"",COUNTIFS('Invoice &amp; Delivery Log'!$D$8:$D$157,$D76,'Invoice &amp; Delivery Log'!$B$8:$B$157,$B76)&gt;1),"Duplicate supplier invoice number. ","")&amp;IF($E76="","Missing PO number. ","")&amp;IF($H76="","Missing invoice date. ","")&amp;IF(N($N76)&lt;=0,"Invoice amount must be greater than zero. ","")&amp;IF(AND($H76&lt;&gt;"",$H76&gt;Settings!$C$5),"Invoice date is in the future. ","")&amp;IF(AND($K76="Received in Full",$J76=""),"Missing actual delivery date. ","")&amp;IF(ROUND(N($O76)-N($N76),2)&gt;0,"Payments exceed the invoice amount. ","")&amp;IF(AND($K76="Rejected",N($O76)&gt;0),"Payment made on a rejected delivery. ","")&amp;IF(AND($B76&lt;&gt;"",IFERROR(INDEX('Vendor Master'!$H$8:$H$47,MATCH($B76,'Vendor Master'!$A$8:$A$47,0)),"")="Inactive",ROUND(N($P76),2)&gt;0),"Open balance with an inactive vendor. ","")))</f>
        <v/>
      </c>
      <c r="Y76" s="36" t="str">
        <f aca="false">IF($A76="","",IF(ROUND($P76,2)&gt;0.004,"Yes","No"))</f>
        <v/>
      </c>
      <c r="Z76" s="29" t="str">
        <f aca="false">IF(OR($Y76&lt;&gt;"Yes",$M76=""),"",COUNTIFS('Invoice &amp; Delivery Log'!$Y$8:$Y$157,"Yes",'Invoice &amp; Delivery Log'!$M$8:$M$157,"&lt;"&amp;$M76)+COUNTIFS('Invoice &amp; Delivery Log'!$Y$8:$Y$157,"Yes",'Invoice &amp; Delivery Log'!$M$8:$M$157,$M76,'Invoice &amp; Delivery Log'!$A$8:$A$157,"&lt;"&amp;$A76)+1)</f>
        <v/>
      </c>
    </row>
    <row r="77" customFormat="false" ht="15" hidden="false" customHeight="true" outlineLevel="0" collapsed="false">
      <c r="A77" s="44"/>
      <c r="B77" s="44"/>
      <c r="C77" s="59" t="str">
        <f aca="false">IF($B77="","",IFERROR(INDEX('Vendor Master'!$B$8:$B$47,MATCH($B77,'Vendor Master'!$A$8:$A$47,0)),"NOT FOUND"))</f>
        <v/>
      </c>
      <c r="D77" s="44"/>
      <c r="E77" s="45"/>
      <c r="F77" s="59" t="str">
        <f aca="false">IF($B77="","",IFERROR(INDEX('Vendor Master'!$C$8:$C$47,MATCH($B77,'Vendor Master'!$A$8:$A$47,0)),""))</f>
        <v/>
      </c>
      <c r="G77" s="45"/>
      <c r="H77" s="56"/>
      <c r="I77" s="56"/>
      <c r="J77" s="56"/>
      <c r="K77" s="44"/>
      <c r="L77" s="60" t="str">
        <f aca="false">IF($B77="","",IFERROR(INDEX('Vendor Master'!$G$8:$G$47,MATCH($B77,'Vendor Master'!$A$8:$A$47,0)),""))</f>
        <v/>
      </c>
      <c r="M77" s="61" t="str">
        <f aca="false">IF(OR($H77="",$L77=""),"",$H77+$L77)</f>
        <v/>
      </c>
      <c r="N77" s="58"/>
      <c r="O77" s="50" t="str">
        <f aca="false">IF($A77="","",SUMIFS('Payments Log'!$F$8:$F$207,'Payments Log'!$B$8:$B$207,$A77))</f>
        <v/>
      </c>
      <c r="P77" s="50" t="str">
        <f aca="false">IF($A77="","",ROUND($N77-$O77,2))</f>
        <v/>
      </c>
      <c r="Q77" s="53" t="str">
        <f aca="false">IF($A77="","",IF(N($N77)&lt;=0,"Check Amount",IF(ROUND($O77,2)&lt;=0,"Unpaid",IF(ROUND($O77-$N77,2)&gt;0,"Overpaid",IF(ROUND($P77,2)&lt;=0,"Paid","Partially Paid")))))</f>
        <v/>
      </c>
      <c r="R77" s="52" t="str">
        <f aca="false">IF(OR($A77="",$M77=""),"",IF(ROUND($P77,2)&lt;=0,0,MAX(0,Settings!$C$5-$M77-Settings!$C$7)))</f>
        <v/>
      </c>
      <c r="S77" s="50" t="str">
        <f aca="false">IF($A77="","",IF(N($R77)&gt;0,MAX($P77,0),0))</f>
        <v/>
      </c>
      <c r="T77" s="53" t="str">
        <f aca="false">IF($A77="","",IF(ROUND($P77,2)&lt;0,"Supplier Credit",IF(ROUND($P77,2)=0,"Closed",IF($M77="","No Due Date",IF(N($R77)&lt;=0,"Not Due Yet",IF(N($R77)&lt;=Settings!$C$8,"1-30 Days Overdue",IF(N($R77)&lt;=Settings!$C$9,"31-60 Days Overdue",IF(N($R77)&lt;=Settings!$C$10,"61-90 Days Overdue","90+ Days Overdue"))))))))</f>
        <v/>
      </c>
      <c r="U77" s="61" t="str">
        <f aca="false">IF($A77="","",IF(COUNTIFS('Payments Log'!$B$8:$B$207,$A77)=0,"",SUMPRODUCT(MAX(('Payments Log'!$B$8:$B$207=$A77)*'Payments Log'!$E$8:$E$207))))</f>
        <v/>
      </c>
      <c r="V77" s="53" t="str">
        <f aca="false">IF($A77="","",IF($J77="","Not Delivered",IF($I77="","No Target Date",IF($J77&lt;=$I77,"On Time","Late"))))</f>
        <v/>
      </c>
      <c r="W77" s="53" t="str">
        <f aca="false">IF($A77="","",IF($X77="","OK","REVIEW"))</f>
        <v/>
      </c>
      <c r="X77" s="62" t="str">
        <f aca="false">IF($A77="","",TRIM(IF($B77="","Missing vendor ID. ","")&amp;IF($C77="NOT FOUND","Vendor ID not in Vendor Master. ","")&amp;IF(COUNTIFS('Invoice &amp; Delivery Log'!$A$8:$A$157,$A77)&gt;1,"Duplicate invoice ID. ","")&amp;IF(AND($D77&lt;&gt;"",COUNTIFS('Invoice &amp; Delivery Log'!$D$8:$D$157,$D77,'Invoice &amp; Delivery Log'!$B$8:$B$157,$B77)&gt;1),"Duplicate supplier invoice number. ","")&amp;IF($E77="","Missing PO number. ","")&amp;IF($H77="","Missing invoice date. ","")&amp;IF(N($N77)&lt;=0,"Invoice amount must be greater than zero. ","")&amp;IF(AND($H77&lt;&gt;"",$H77&gt;Settings!$C$5),"Invoice date is in the future. ","")&amp;IF(AND($K77="Received in Full",$J77=""),"Missing actual delivery date. ","")&amp;IF(ROUND(N($O77)-N($N77),2)&gt;0,"Payments exceed the invoice amount. ","")&amp;IF(AND($K77="Rejected",N($O77)&gt;0),"Payment made on a rejected delivery. ","")&amp;IF(AND($B77&lt;&gt;"",IFERROR(INDEX('Vendor Master'!$H$8:$H$47,MATCH($B77,'Vendor Master'!$A$8:$A$47,0)),"")="Inactive",ROUND(N($P77),2)&gt;0),"Open balance with an inactive vendor. ","")))</f>
        <v/>
      </c>
      <c r="Y77" s="53" t="str">
        <f aca="false">IF($A77="","",IF(ROUND($P77,2)&gt;0.004,"Yes","No"))</f>
        <v/>
      </c>
      <c r="Z77" s="49" t="str">
        <f aca="false">IF(OR($Y77&lt;&gt;"Yes",$M77=""),"",COUNTIFS('Invoice &amp; Delivery Log'!$Y$8:$Y$157,"Yes",'Invoice &amp; Delivery Log'!$M$8:$M$157,"&lt;"&amp;$M77)+COUNTIFS('Invoice &amp; Delivery Log'!$Y$8:$Y$157,"Yes",'Invoice &amp; Delivery Log'!$M$8:$M$157,$M77,'Invoice &amp; Delivery Log'!$A$8:$A$157,"&lt;"&amp;$A77)+1)</f>
        <v/>
      </c>
    </row>
    <row r="78" customFormat="false" ht="15" hidden="false" customHeight="true" outlineLevel="0" collapsed="false">
      <c r="A78" s="44"/>
      <c r="B78" s="44"/>
      <c r="C78" s="55" t="str">
        <f aca="false">IF($B78="","",IFERROR(INDEX('Vendor Master'!$B$8:$B$47,MATCH($B78,'Vendor Master'!$A$8:$A$47,0)),"NOT FOUND"))</f>
        <v/>
      </c>
      <c r="D78" s="44"/>
      <c r="E78" s="45"/>
      <c r="F78" s="55" t="str">
        <f aca="false">IF($B78="","",IFERROR(INDEX('Vendor Master'!$C$8:$C$47,MATCH($B78,'Vendor Master'!$A$8:$A$47,0)),""))</f>
        <v/>
      </c>
      <c r="G78" s="45"/>
      <c r="H78" s="56"/>
      <c r="I78" s="56"/>
      <c r="J78" s="56"/>
      <c r="K78" s="44"/>
      <c r="L78" s="57" t="str">
        <f aca="false">IF($B78="","",IFERROR(INDEX('Vendor Master'!$G$8:$G$47,MATCH($B78,'Vendor Master'!$A$8:$A$47,0)),""))</f>
        <v/>
      </c>
      <c r="M78" s="37" t="str">
        <f aca="false">IF(OR($H78="",$L78=""),"",$H78+$L78)</f>
        <v/>
      </c>
      <c r="N78" s="58"/>
      <c r="O78" s="30" t="str">
        <f aca="false">IF($A78="","",SUMIFS('Payments Log'!$F$8:$F$207,'Payments Log'!$B$8:$B$207,$A78))</f>
        <v/>
      </c>
      <c r="P78" s="30" t="str">
        <f aca="false">IF($A78="","",ROUND($N78-$O78,2))</f>
        <v/>
      </c>
      <c r="Q78" s="36" t="str">
        <f aca="false">IF($A78="","",IF(N($N78)&lt;=0,"Check Amount",IF(ROUND($O78,2)&lt;=0,"Unpaid",IF(ROUND($O78-$N78,2)&gt;0,"Overpaid",IF(ROUND($P78,2)&lt;=0,"Paid","Partially Paid")))))</f>
        <v/>
      </c>
      <c r="R78" s="47" t="str">
        <f aca="false">IF(OR($A78="",$M78=""),"",IF(ROUND($P78,2)&lt;=0,0,MAX(0,Settings!$C$5-$M78-Settings!$C$7)))</f>
        <v/>
      </c>
      <c r="S78" s="30" t="str">
        <f aca="false">IF($A78="","",IF(N($R78)&gt;0,MAX($P78,0),0))</f>
        <v/>
      </c>
      <c r="T78" s="36" t="str">
        <f aca="false">IF($A78="","",IF(ROUND($P78,2)&lt;0,"Supplier Credit",IF(ROUND($P78,2)=0,"Closed",IF($M78="","No Due Date",IF(N($R78)&lt;=0,"Not Due Yet",IF(N($R78)&lt;=Settings!$C$8,"1-30 Days Overdue",IF(N($R78)&lt;=Settings!$C$9,"31-60 Days Overdue",IF(N($R78)&lt;=Settings!$C$10,"61-90 Days Overdue","90+ Days Overdue"))))))))</f>
        <v/>
      </c>
      <c r="U78" s="37" t="str">
        <f aca="false">IF($A78="","",IF(COUNTIFS('Payments Log'!$B$8:$B$207,$A78)=0,"",SUMPRODUCT(MAX(('Payments Log'!$B$8:$B$207=$A78)*'Payments Log'!$E$8:$E$207))))</f>
        <v/>
      </c>
      <c r="V78" s="36" t="str">
        <f aca="false">IF($A78="","",IF($J78="","Not Delivered",IF($I78="","No Target Date",IF($J78&lt;=$I78,"On Time","Late"))))</f>
        <v/>
      </c>
      <c r="W78" s="36" t="str">
        <f aca="false">IF($A78="","",IF($X78="","OK","REVIEW"))</f>
        <v/>
      </c>
      <c r="X78" s="28" t="str">
        <f aca="false">IF($A78="","",TRIM(IF($B78="","Missing vendor ID. ","")&amp;IF($C78="NOT FOUND","Vendor ID not in Vendor Master. ","")&amp;IF(COUNTIFS('Invoice &amp; Delivery Log'!$A$8:$A$157,$A78)&gt;1,"Duplicate invoice ID. ","")&amp;IF(AND($D78&lt;&gt;"",COUNTIFS('Invoice &amp; Delivery Log'!$D$8:$D$157,$D78,'Invoice &amp; Delivery Log'!$B$8:$B$157,$B78)&gt;1),"Duplicate supplier invoice number. ","")&amp;IF($E78="","Missing PO number. ","")&amp;IF($H78="","Missing invoice date. ","")&amp;IF(N($N78)&lt;=0,"Invoice amount must be greater than zero. ","")&amp;IF(AND($H78&lt;&gt;"",$H78&gt;Settings!$C$5),"Invoice date is in the future. ","")&amp;IF(AND($K78="Received in Full",$J78=""),"Missing actual delivery date. ","")&amp;IF(ROUND(N($O78)-N($N78),2)&gt;0,"Payments exceed the invoice amount. ","")&amp;IF(AND($K78="Rejected",N($O78)&gt;0),"Payment made on a rejected delivery. ","")&amp;IF(AND($B78&lt;&gt;"",IFERROR(INDEX('Vendor Master'!$H$8:$H$47,MATCH($B78,'Vendor Master'!$A$8:$A$47,0)),"")="Inactive",ROUND(N($P78),2)&gt;0),"Open balance with an inactive vendor. ","")))</f>
        <v/>
      </c>
      <c r="Y78" s="36" t="str">
        <f aca="false">IF($A78="","",IF(ROUND($P78,2)&gt;0.004,"Yes","No"))</f>
        <v/>
      </c>
      <c r="Z78" s="29" t="str">
        <f aca="false">IF(OR($Y78&lt;&gt;"Yes",$M78=""),"",COUNTIFS('Invoice &amp; Delivery Log'!$Y$8:$Y$157,"Yes",'Invoice &amp; Delivery Log'!$M$8:$M$157,"&lt;"&amp;$M78)+COUNTIFS('Invoice &amp; Delivery Log'!$Y$8:$Y$157,"Yes",'Invoice &amp; Delivery Log'!$M$8:$M$157,$M78,'Invoice &amp; Delivery Log'!$A$8:$A$157,"&lt;"&amp;$A78)+1)</f>
        <v/>
      </c>
    </row>
    <row r="79" customFormat="false" ht="15" hidden="false" customHeight="true" outlineLevel="0" collapsed="false">
      <c r="A79" s="44"/>
      <c r="B79" s="44"/>
      <c r="C79" s="59" t="str">
        <f aca="false">IF($B79="","",IFERROR(INDEX('Vendor Master'!$B$8:$B$47,MATCH($B79,'Vendor Master'!$A$8:$A$47,0)),"NOT FOUND"))</f>
        <v/>
      </c>
      <c r="D79" s="44"/>
      <c r="E79" s="45"/>
      <c r="F79" s="59" t="str">
        <f aca="false">IF($B79="","",IFERROR(INDEX('Vendor Master'!$C$8:$C$47,MATCH($B79,'Vendor Master'!$A$8:$A$47,0)),""))</f>
        <v/>
      </c>
      <c r="G79" s="45"/>
      <c r="H79" s="56"/>
      <c r="I79" s="56"/>
      <c r="J79" s="56"/>
      <c r="K79" s="44"/>
      <c r="L79" s="60" t="str">
        <f aca="false">IF($B79="","",IFERROR(INDEX('Vendor Master'!$G$8:$G$47,MATCH($B79,'Vendor Master'!$A$8:$A$47,0)),""))</f>
        <v/>
      </c>
      <c r="M79" s="61" t="str">
        <f aca="false">IF(OR($H79="",$L79=""),"",$H79+$L79)</f>
        <v/>
      </c>
      <c r="N79" s="58"/>
      <c r="O79" s="50" t="str">
        <f aca="false">IF($A79="","",SUMIFS('Payments Log'!$F$8:$F$207,'Payments Log'!$B$8:$B$207,$A79))</f>
        <v/>
      </c>
      <c r="P79" s="50" t="str">
        <f aca="false">IF($A79="","",ROUND($N79-$O79,2))</f>
        <v/>
      </c>
      <c r="Q79" s="53" t="str">
        <f aca="false">IF($A79="","",IF(N($N79)&lt;=0,"Check Amount",IF(ROUND($O79,2)&lt;=0,"Unpaid",IF(ROUND($O79-$N79,2)&gt;0,"Overpaid",IF(ROUND($P79,2)&lt;=0,"Paid","Partially Paid")))))</f>
        <v/>
      </c>
      <c r="R79" s="52" t="str">
        <f aca="false">IF(OR($A79="",$M79=""),"",IF(ROUND($P79,2)&lt;=0,0,MAX(0,Settings!$C$5-$M79-Settings!$C$7)))</f>
        <v/>
      </c>
      <c r="S79" s="50" t="str">
        <f aca="false">IF($A79="","",IF(N($R79)&gt;0,MAX($P79,0),0))</f>
        <v/>
      </c>
      <c r="T79" s="53" t="str">
        <f aca="false">IF($A79="","",IF(ROUND($P79,2)&lt;0,"Supplier Credit",IF(ROUND($P79,2)=0,"Closed",IF($M79="","No Due Date",IF(N($R79)&lt;=0,"Not Due Yet",IF(N($R79)&lt;=Settings!$C$8,"1-30 Days Overdue",IF(N($R79)&lt;=Settings!$C$9,"31-60 Days Overdue",IF(N($R79)&lt;=Settings!$C$10,"61-90 Days Overdue","90+ Days Overdue"))))))))</f>
        <v/>
      </c>
      <c r="U79" s="61" t="str">
        <f aca="false">IF($A79="","",IF(COUNTIFS('Payments Log'!$B$8:$B$207,$A79)=0,"",SUMPRODUCT(MAX(('Payments Log'!$B$8:$B$207=$A79)*'Payments Log'!$E$8:$E$207))))</f>
        <v/>
      </c>
      <c r="V79" s="53" t="str">
        <f aca="false">IF($A79="","",IF($J79="","Not Delivered",IF($I79="","No Target Date",IF($J79&lt;=$I79,"On Time","Late"))))</f>
        <v/>
      </c>
      <c r="W79" s="53" t="str">
        <f aca="false">IF($A79="","",IF($X79="","OK","REVIEW"))</f>
        <v/>
      </c>
      <c r="X79" s="62" t="str">
        <f aca="false">IF($A79="","",TRIM(IF($B79="","Missing vendor ID. ","")&amp;IF($C79="NOT FOUND","Vendor ID not in Vendor Master. ","")&amp;IF(COUNTIFS('Invoice &amp; Delivery Log'!$A$8:$A$157,$A79)&gt;1,"Duplicate invoice ID. ","")&amp;IF(AND($D79&lt;&gt;"",COUNTIFS('Invoice &amp; Delivery Log'!$D$8:$D$157,$D79,'Invoice &amp; Delivery Log'!$B$8:$B$157,$B79)&gt;1),"Duplicate supplier invoice number. ","")&amp;IF($E79="","Missing PO number. ","")&amp;IF($H79="","Missing invoice date. ","")&amp;IF(N($N79)&lt;=0,"Invoice amount must be greater than zero. ","")&amp;IF(AND($H79&lt;&gt;"",$H79&gt;Settings!$C$5),"Invoice date is in the future. ","")&amp;IF(AND($K79="Received in Full",$J79=""),"Missing actual delivery date. ","")&amp;IF(ROUND(N($O79)-N($N79),2)&gt;0,"Payments exceed the invoice amount. ","")&amp;IF(AND($K79="Rejected",N($O79)&gt;0),"Payment made on a rejected delivery. ","")&amp;IF(AND($B79&lt;&gt;"",IFERROR(INDEX('Vendor Master'!$H$8:$H$47,MATCH($B79,'Vendor Master'!$A$8:$A$47,0)),"")="Inactive",ROUND(N($P79),2)&gt;0),"Open balance with an inactive vendor. ","")))</f>
        <v/>
      </c>
      <c r="Y79" s="53" t="str">
        <f aca="false">IF($A79="","",IF(ROUND($P79,2)&gt;0.004,"Yes","No"))</f>
        <v/>
      </c>
      <c r="Z79" s="49" t="str">
        <f aca="false">IF(OR($Y79&lt;&gt;"Yes",$M79=""),"",COUNTIFS('Invoice &amp; Delivery Log'!$Y$8:$Y$157,"Yes",'Invoice &amp; Delivery Log'!$M$8:$M$157,"&lt;"&amp;$M79)+COUNTIFS('Invoice &amp; Delivery Log'!$Y$8:$Y$157,"Yes",'Invoice &amp; Delivery Log'!$M$8:$M$157,$M79,'Invoice &amp; Delivery Log'!$A$8:$A$157,"&lt;"&amp;$A79)+1)</f>
        <v/>
      </c>
    </row>
    <row r="80" customFormat="false" ht="15" hidden="false" customHeight="true" outlineLevel="0" collapsed="false">
      <c r="A80" s="44"/>
      <c r="B80" s="44"/>
      <c r="C80" s="55" t="str">
        <f aca="false">IF($B80="","",IFERROR(INDEX('Vendor Master'!$B$8:$B$47,MATCH($B80,'Vendor Master'!$A$8:$A$47,0)),"NOT FOUND"))</f>
        <v/>
      </c>
      <c r="D80" s="44"/>
      <c r="E80" s="45"/>
      <c r="F80" s="55" t="str">
        <f aca="false">IF($B80="","",IFERROR(INDEX('Vendor Master'!$C$8:$C$47,MATCH($B80,'Vendor Master'!$A$8:$A$47,0)),""))</f>
        <v/>
      </c>
      <c r="G80" s="45"/>
      <c r="H80" s="56"/>
      <c r="I80" s="56"/>
      <c r="J80" s="56"/>
      <c r="K80" s="44"/>
      <c r="L80" s="57" t="str">
        <f aca="false">IF($B80="","",IFERROR(INDEX('Vendor Master'!$G$8:$G$47,MATCH($B80,'Vendor Master'!$A$8:$A$47,0)),""))</f>
        <v/>
      </c>
      <c r="M80" s="37" t="str">
        <f aca="false">IF(OR($H80="",$L80=""),"",$H80+$L80)</f>
        <v/>
      </c>
      <c r="N80" s="58"/>
      <c r="O80" s="30" t="str">
        <f aca="false">IF($A80="","",SUMIFS('Payments Log'!$F$8:$F$207,'Payments Log'!$B$8:$B$207,$A80))</f>
        <v/>
      </c>
      <c r="P80" s="30" t="str">
        <f aca="false">IF($A80="","",ROUND($N80-$O80,2))</f>
        <v/>
      </c>
      <c r="Q80" s="36" t="str">
        <f aca="false">IF($A80="","",IF(N($N80)&lt;=0,"Check Amount",IF(ROUND($O80,2)&lt;=0,"Unpaid",IF(ROUND($O80-$N80,2)&gt;0,"Overpaid",IF(ROUND($P80,2)&lt;=0,"Paid","Partially Paid")))))</f>
        <v/>
      </c>
      <c r="R80" s="47" t="str">
        <f aca="false">IF(OR($A80="",$M80=""),"",IF(ROUND($P80,2)&lt;=0,0,MAX(0,Settings!$C$5-$M80-Settings!$C$7)))</f>
        <v/>
      </c>
      <c r="S80" s="30" t="str">
        <f aca="false">IF($A80="","",IF(N($R80)&gt;0,MAX($P80,0),0))</f>
        <v/>
      </c>
      <c r="T80" s="36" t="str">
        <f aca="false">IF($A80="","",IF(ROUND($P80,2)&lt;0,"Supplier Credit",IF(ROUND($P80,2)=0,"Closed",IF($M80="","No Due Date",IF(N($R80)&lt;=0,"Not Due Yet",IF(N($R80)&lt;=Settings!$C$8,"1-30 Days Overdue",IF(N($R80)&lt;=Settings!$C$9,"31-60 Days Overdue",IF(N($R80)&lt;=Settings!$C$10,"61-90 Days Overdue","90+ Days Overdue"))))))))</f>
        <v/>
      </c>
      <c r="U80" s="37" t="str">
        <f aca="false">IF($A80="","",IF(COUNTIFS('Payments Log'!$B$8:$B$207,$A80)=0,"",SUMPRODUCT(MAX(('Payments Log'!$B$8:$B$207=$A80)*'Payments Log'!$E$8:$E$207))))</f>
        <v/>
      </c>
      <c r="V80" s="36" t="str">
        <f aca="false">IF($A80="","",IF($J80="","Not Delivered",IF($I80="","No Target Date",IF($J80&lt;=$I80,"On Time","Late"))))</f>
        <v/>
      </c>
      <c r="W80" s="36" t="str">
        <f aca="false">IF($A80="","",IF($X80="","OK","REVIEW"))</f>
        <v/>
      </c>
      <c r="X80" s="28" t="str">
        <f aca="false">IF($A80="","",TRIM(IF($B80="","Missing vendor ID. ","")&amp;IF($C80="NOT FOUND","Vendor ID not in Vendor Master. ","")&amp;IF(COUNTIFS('Invoice &amp; Delivery Log'!$A$8:$A$157,$A80)&gt;1,"Duplicate invoice ID. ","")&amp;IF(AND($D80&lt;&gt;"",COUNTIFS('Invoice &amp; Delivery Log'!$D$8:$D$157,$D80,'Invoice &amp; Delivery Log'!$B$8:$B$157,$B80)&gt;1),"Duplicate supplier invoice number. ","")&amp;IF($E80="","Missing PO number. ","")&amp;IF($H80="","Missing invoice date. ","")&amp;IF(N($N80)&lt;=0,"Invoice amount must be greater than zero. ","")&amp;IF(AND($H80&lt;&gt;"",$H80&gt;Settings!$C$5),"Invoice date is in the future. ","")&amp;IF(AND($K80="Received in Full",$J80=""),"Missing actual delivery date. ","")&amp;IF(ROUND(N($O80)-N($N80),2)&gt;0,"Payments exceed the invoice amount. ","")&amp;IF(AND($K80="Rejected",N($O80)&gt;0),"Payment made on a rejected delivery. ","")&amp;IF(AND($B80&lt;&gt;"",IFERROR(INDEX('Vendor Master'!$H$8:$H$47,MATCH($B80,'Vendor Master'!$A$8:$A$47,0)),"")="Inactive",ROUND(N($P80),2)&gt;0),"Open balance with an inactive vendor. ","")))</f>
        <v/>
      </c>
      <c r="Y80" s="36" t="str">
        <f aca="false">IF($A80="","",IF(ROUND($P80,2)&gt;0.004,"Yes","No"))</f>
        <v/>
      </c>
      <c r="Z80" s="29" t="str">
        <f aca="false">IF(OR($Y80&lt;&gt;"Yes",$M80=""),"",COUNTIFS('Invoice &amp; Delivery Log'!$Y$8:$Y$157,"Yes",'Invoice &amp; Delivery Log'!$M$8:$M$157,"&lt;"&amp;$M80)+COUNTIFS('Invoice &amp; Delivery Log'!$Y$8:$Y$157,"Yes",'Invoice &amp; Delivery Log'!$M$8:$M$157,$M80,'Invoice &amp; Delivery Log'!$A$8:$A$157,"&lt;"&amp;$A80)+1)</f>
        <v/>
      </c>
    </row>
    <row r="81" customFormat="false" ht="15" hidden="false" customHeight="true" outlineLevel="0" collapsed="false">
      <c r="A81" s="44"/>
      <c r="B81" s="44"/>
      <c r="C81" s="59" t="str">
        <f aca="false">IF($B81="","",IFERROR(INDEX('Vendor Master'!$B$8:$B$47,MATCH($B81,'Vendor Master'!$A$8:$A$47,0)),"NOT FOUND"))</f>
        <v/>
      </c>
      <c r="D81" s="44"/>
      <c r="E81" s="45"/>
      <c r="F81" s="59" t="str">
        <f aca="false">IF($B81="","",IFERROR(INDEX('Vendor Master'!$C$8:$C$47,MATCH($B81,'Vendor Master'!$A$8:$A$47,0)),""))</f>
        <v/>
      </c>
      <c r="G81" s="45"/>
      <c r="H81" s="56"/>
      <c r="I81" s="56"/>
      <c r="J81" s="56"/>
      <c r="K81" s="44"/>
      <c r="L81" s="60" t="str">
        <f aca="false">IF($B81="","",IFERROR(INDEX('Vendor Master'!$G$8:$G$47,MATCH($B81,'Vendor Master'!$A$8:$A$47,0)),""))</f>
        <v/>
      </c>
      <c r="M81" s="61" t="str">
        <f aca="false">IF(OR($H81="",$L81=""),"",$H81+$L81)</f>
        <v/>
      </c>
      <c r="N81" s="58"/>
      <c r="O81" s="50" t="str">
        <f aca="false">IF($A81="","",SUMIFS('Payments Log'!$F$8:$F$207,'Payments Log'!$B$8:$B$207,$A81))</f>
        <v/>
      </c>
      <c r="P81" s="50" t="str">
        <f aca="false">IF($A81="","",ROUND($N81-$O81,2))</f>
        <v/>
      </c>
      <c r="Q81" s="53" t="str">
        <f aca="false">IF($A81="","",IF(N($N81)&lt;=0,"Check Amount",IF(ROUND($O81,2)&lt;=0,"Unpaid",IF(ROUND($O81-$N81,2)&gt;0,"Overpaid",IF(ROUND($P81,2)&lt;=0,"Paid","Partially Paid")))))</f>
        <v/>
      </c>
      <c r="R81" s="52" t="str">
        <f aca="false">IF(OR($A81="",$M81=""),"",IF(ROUND($P81,2)&lt;=0,0,MAX(0,Settings!$C$5-$M81-Settings!$C$7)))</f>
        <v/>
      </c>
      <c r="S81" s="50" t="str">
        <f aca="false">IF($A81="","",IF(N($R81)&gt;0,MAX($P81,0),0))</f>
        <v/>
      </c>
      <c r="T81" s="53" t="str">
        <f aca="false">IF($A81="","",IF(ROUND($P81,2)&lt;0,"Supplier Credit",IF(ROUND($P81,2)=0,"Closed",IF($M81="","No Due Date",IF(N($R81)&lt;=0,"Not Due Yet",IF(N($R81)&lt;=Settings!$C$8,"1-30 Days Overdue",IF(N($R81)&lt;=Settings!$C$9,"31-60 Days Overdue",IF(N($R81)&lt;=Settings!$C$10,"61-90 Days Overdue","90+ Days Overdue"))))))))</f>
        <v/>
      </c>
      <c r="U81" s="61" t="str">
        <f aca="false">IF($A81="","",IF(COUNTIFS('Payments Log'!$B$8:$B$207,$A81)=0,"",SUMPRODUCT(MAX(('Payments Log'!$B$8:$B$207=$A81)*'Payments Log'!$E$8:$E$207))))</f>
        <v/>
      </c>
      <c r="V81" s="53" t="str">
        <f aca="false">IF($A81="","",IF($J81="","Not Delivered",IF($I81="","No Target Date",IF($J81&lt;=$I81,"On Time","Late"))))</f>
        <v/>
      </c>
      <c r="W81" s="53" t="str">
        <f aca="false">IF($A81="","",IF($X81="","OK","REVIEW"))</f>
        <v/>
      </c>
      <c r="X81" s="62" t="str">
        <f aca="false">IF($A81="","",TRIM(IF($B81="","Missing vendor ID. ","")&amp;IF($C81="NOT FOUND","Vendor ID not in Vendor Master. ","")&amp;IF(COUNTIFS('Invoice &amp; Delivery Log'!$A$8:$A$157,$A81)&gt;1,"Duplicate invoice ID. ","")&amp;IF(AND($D81&lt;&gt;"",COUNTIFS('Invoice &amp; Delivery Log'!$D$8:$D$157,$D81,'Invoice &amp; Delivery Log'!$B$8:$B$157,$B81)&gt;1),"Duplicate supplier invoice number. ","")&amp;IF($E81="","Missing PO number. ","")&amp;IF($H81="","Missing invoice date. ","")&amp;IF(N($N81)&lt;=0,"Invoice amount must be greater than zero. ","")&amp;IF(AND($H81&lt;&gt;"",$H81&gt;Settings!$C$5),"Invoice date is in the future. ","")&amp;IF(AND($K81="Received in Full",$J81=""),"Missing actual delivery date. ","")&amp;IF(ROUND(N($O81)-N($N81),2)&gt;0,"Payments exceed the invoice amount. ","")&amp;IF(AND($K81="Rejected",N($O81)&gt;0),"Payment made on a rejected delivery. ","")&amp;IF(AND($B81&lt;&gt;"",IFERROR(INDEX('Vendor Master'!$H$8:$H$47,MATCH($B81,'Vendor Master'!$A$8:$A$47,0)),"")="Inactive",ROUND(N($P81),2)&gt;0),"Open balance with an inactive vendor. ","")))</f>
        <v/>
      </c>
      <c r="Y81" s="53" t="str">
        <f aca="false">IF($A81="","",IF(ROUND($P81,2)&gt;0.004,"Yes","No"))</f>
        <v/>
      </c>
      <c r="Z81" s="49" t="str">
        <f aca="false">IF(OR($Y81&lt;&gt;"Yes",$M81=""),"",COUNTIFS('Invoice &amp; Delivery Log'!$Y$8:$Y$157,"Yes",'Invoice &amp; Delivery Log'!$M$8:$M$157,"&lt;"&amp;$M81)+COUNTIFS('Invoice &amp; Delivery Log'!$Y$8:$Y$157,"Yes",'Invoice &amp; Delivery Log'!$M$8:$M$157,$M81,'Invoice &amp; Delivery Log'!$A$8:$A$157,"&lt;"&amp;$A81)+1)</f>
        <v/>
      </c>
    </row>
    <row r="82" customFormat="false" ht="15" hidden="false" customHeight="true" outlineLevel="0" collapsed="false">
      <c r="A82" s="44"/>
      <c r="B82" s="44"/>
      <c r="C82" s="55" t="str">
        <f aca="false">IF($B82="","",IFERROR(INDEX('Vendor Master'!$B$8:$B$47,MATCH($B82,'Vendor Master'!$A$8:$A$47,0)),"NOT FOUND"))</f>
        <v/>
      </c>
      <c r="D82" s="44"/>
      <c r="E82" s="45"/>
      <c r="F82" s="55" t="str">
        <f aca="false">IF($B82="","",IFERROR(INDEX('Vendor Master'!$C$8:$C$47,MATCH($B82,'Vendor Master'!$A$8:$A$47,0)),""))</f>
        <v/>
      </c>
      <c r="G82" s="45"/>
      <c r="H82" s="56"/>
      <c r="I82" s="56"/>
      <c r="J82" s="56"/>
      <c r="K82" s="44"/>
      <c r="L82" s="57" t="str">
        <f aca="false">IF($B82="","",IFERROR(INDEX('Vendor Master'!$G$8:$G$47,MATCH($B82,'Vendor Master'!$A$8:$A$47,0)),""))</f>
        <v/>
      </c>
      <c r="M82" s="37" t="str">
        <f aca="false">IF(OR($H82="",$L82=""),"",$H82+$L82)</f>
        <v/>
      </c>
      <c r="N82" s="58"/>
      <c r="O82" s="30" t="str">
        <f aca="false">IF($A82="","",SUMIFS('Payments Log'!$F$8:$F$207,'Payments Log'!$B$8:$B$207,$A82))</f>
        <v/>
      </c>
      <c r="P82" s="30" t="str">
        <f aca="false">IF($A82="","",ROUND($N82-$O82,2))</f>
        <v/>
      </c>
      <c r="Q82" s="36" t="str">
        <f aca="false">IF($A82="","",IF(N($N82)&lt;=0,"Check Amount",IF(ROUND($O82,2)&lt;=0,"Unpaid",IF(ROUND($O82-$N82,2)&gt;0,"Overpaid",IF(ROUND($P82,2)&lt;=0,"Paid","Partially Paid")))))</f>
        <v/>
      </c>
      <c r="R82" s="47" t="str">
        <f aca="false">IF(OR($A82="",$M82=""),"",IF(ROUND($P82,2)&lt;=0,0,MAX(0,Settings!$C$5-$M82-Settings!$C$7)))</f>
        <v/>
      </c>
      <c r="S82" s="30" t="str">
        <f aca="false">IF($A82="","",IF(N($R82)&gt;0,MAX($P82,0),0))</f>
        <v/>
      </c>
      <c r="T82" s="36" t="str">
        <f aca="false">IF($A82="","",IF(ROUND($P82,2)&lt;0,"Supplier Credit",IF(ROUND($P82,2)=0,"Closed",IF($M82="","No Due Date",IF(N($R82)&lt;=0,"Not Due Yet",IF(N($R82)&lt;=Settings!$C$8,"1-30 Days Overdue",IF(N($R82)&lt;=Settings!$C$9,"31-60 Days Overdue",IF(N($R82)&lt;=Settings!$C$10,"61-90 Days Overdue","90+ Days Overdue"))))))))</f>
        <v/>
      </c>
      <c r="U82" s="37" t="str">
        <f aca="false">IF($A82="","",IF(COUNTIFS('Payments Log'!$B$8:$B$207,$A82)=0,"",SUMPRODUCT(MAX(('Payments Log'!$B$8:$B$207=$A82)*'Payments Log'!$E$8:$E$207))))</f>
        <v/>
      </c>
      <c r="V82" s="36" t="str">
        <f aca="false">IF($A82="","",IF($J82="","Not Delivered",IF($I82="","No Target Date",IF($J82&lt;=$I82,"On Time","Late"))))</f>
        <v/>
      </c>
      <c r="W82" s="36" t="str">
        <f aca="false">IF($A82="","",IF($X82="","OK","REVIEW"))</f>
        <v/>
      </c>
      <c r="X82" s="28" t="str">
        <f aca="false">IF($A82="","",TRIM(IF($B82="","Missing vendor ID. ","")&amp;IF($C82="NOT FOUND","Vendor ID not in Vendor Master. ","")&amp;IF(COUNTIFS('Invoice &amp; Delivery Log'!$A$8:$A$157,$A82)&gt;1,"Duplicate invoice ID. ","")&amp;IF(AND($D82&lt;&gt;"",COUNTIFS('Invoice &amp; Delivery Log'!$D$8:$D$157,$D82,'Invoice &amp; Delivery Log'!$B$8:$B$157,$B82)&gt;1),"Duplicate supplier invoice number. ","")&amp;IF($E82="","Missing PO number. ","")&amp;IF($H82="","Missing invoice date. ","")&amp;IF(N($N82)&lt;=0,"Invoice amount must be greater than zero. ","")&amp;IF(AND($H82&lt;&gt;"",$H82&gt;Settings!$C$5),"Invoice date is in the future. ","")&amp;IF(AND($K82="Received in Full",$J82=""),"Missing actual delivery date. ","")&amp;IF(ROUND(N($O82)-N($N82),2)&gt;0,"Payments exceed the invoice amount. ","")&amp;IF(AND($K82="Rejected",N($O82)&gt;0),"Payment made on a rejected delivery. ","")&amp;IF(AND($B82&lt;&gt;"",IFERROR(INDEX('Vendor Master'!$H$8:$H$47,MATCH($B82,'Vendor Master'!$A$8:$A$47,0)),"")="Inactive",ROUND(N($P82),2)&gt;0),"Open balance with an inactive vendor. ","")))</f>
        <v/>
      </c>
      <c r="Y82" s="36" t="str">
        <f aca="false">IF($A82="","",IF(ROUND($P82,2)&gt;0.004,"Yes","No"))</f>
        <v/>
      </c>
      <c r="Z82" s="29" t="str">
        <f aca="false">IF(OR($Y82&lt;&gt;"Yes",$M82=""),"",COUNTIFS('Invoice &amp; Delivery Log'!$Y$8:$Y$157,"Yes",'Invoice &amp; Delivery Log'!$M$8:$M$157,"&lt;"&amp;$M82)+COUNTIFS('Invoice &amp; Delivery Log'!$Y$8:$Y$157,"Yes",'Invoice &amp; Delivery Log'!$M$8:$M$157,$M82,'Invoice &amp; Delivery Log'!$A$8:$A$157,"&lt;"&amp;$A82)+1)</f>
        <v/>
      </c>
    </row>
    <row r="83" customFormat="false" ht="15" hidden="false" customHeight="true" outlineLevel="0" collapsed="false">
      <c r="A83" s="44"/>
      <c r="B83" s="44"/>
      <c r="C83" s="59" t="str">
        <f aca="false">IF($B83="","",IFERROR(INDEX('Vendor Master'!$B$8:$B$47,MATCH($B83,'Vendor Master'!$A$8:$A$47,0)),"NOT FOUND"))</f>
        <v/>
      </c>
      <c r="D83" s="44"/>
      <c r="E83" s="45"/>
      <c r="F83" s="59" t="str">
        <f aca="false">IF($B83="","",IFERROR(INDEX('Vendor Master'!$C$8:$C$47,MATCH($B83,'Vendor Master'!$A$8:$A$47,0)),""))</f>
        <v/>
      </c>
      <c r="G83" s="45"/>
      <c r="H83" s="56"/>
      <c r="I83" s="56"/>
      <c r="J83" s="56"/>
      <c r="K83" s="44"/>
      <c r="L83" s="60" t="str">
        <f aca="false">IF($B83="","",IFERROR(INDEX('Vendor Master'!$G$8:$G$47,MATCH($B83,'Vendor Master'!$A$8:$A$47,0)),""))</f>
        <v/>
      </c>
      <c r="M83" s="61" t="str">
        <f aca="false">IF(OR($H83="",$L83=""),"",$H83+$L83)</f>
        <v/>
      </c>
      <c r="N83" s="58"/>
      <c r="O83" s="50" t="str">
        <f aca="false">IF($A83="","",SUMIFS('Payments Log'!$F$8:$F$207,'Payments Log'!$B$8:$B$207,$A83))</f>
        <v/>
      </c>
      <c r="P83" s="50" t="str">
        <f aca="false">IF($A83="","",ROUND($N83-$O83,2))</f>
        <v/>
      </c>
      <c r="Q83" s="53" t="str">
        <f aca="false">IF($A83="","",IF(N($N83)&lt;=0,"Check Amount",IF(ROUND($O83,2)&lt;=0,"Unpaid",IF(ROUND($O83-$N83,2)&gt;0,"Overpaid",IF(ROUND($P83,2)&lt;=0,"Paid","Partially Paid")))))</f>
        <v/>
      </c>
      <c r="R83" s="52" t="str">
        <f aca="false">IF(OR($A83="",$M83=""),"",IF(ROUND($P83,2)&lt;=0,0,MAX(0,Settings!$C$5-$M83-Settings!$C$7)))</f>
        <v/>
      </c>
      <c r="S83" s="50" t="str">
        <f aca="false">IF($A83="","",IF(N($R83)&gt;0,MAX($P83,0),0))</f>
        <v/>
      </c>
      <c r="T83" s="53" t="str">
        <f aca="false">IF($A83="","",IF(ROUND($P83,2)&lt;0,"Supplier Credit",IF(ROUND($P83,2)=0,"Closed",IF($M83="","No Due Date",IF(N($R83)&lt;=0,"Not Due Yet",IF(N($R83)&lt;=Settings!$C$8,"1-30 Days Overdue",IF(N($R83)&lt;=Settings!$C$9,"31-60 Days Overdue",IF(N($R83)&lt;=Settings!$C$10,"61-90 Days Overdue","90+ Days Overdue"))))))))</f>
        <v/>
      </c>
      <c r="U83" s="61" t="str">
        <f aca="false">IF($A83="","",IF(COUNTIFS('Payments Log'!$B$8:$B$207,$A83)=0,"",SUMPRODUCT(MAX(('Payments Log'!$B$8:$B$207=$A83)*'Payments Log'!$E$8:$E$207))))</f>
        <v/>
      </c>
      <c r="V83" s="53" t="str">
        <f aca="false">IF($A83="","",IF($J83="","Not Delivered",IF($I83="","No Target Date",IF($J83&lt;=$I83,"On Time","Late"))))</f>
        <v/>
      </c>
      <c r="W83" s="53" t="str">
        <f aca="false">IF($A83="","",IF($X83="","OK","REVIEW"))</f>
        <v/>
      </c>
      <c r="X83" s="62" t="str">
        <f aca="false">IF($A83="","",TRIM(IF($B83="","Missing vendor ID. ","")&amp;IF($C83="NOT FOUND","Vendor ID not in Vendor Master. ","")&amp;IF(COUNTIFS('Invoice &amp; Delivery Log'!$A$8:$A$157,$A83)&gt;1,"Duplicate invoice ID. ","")&amp;IF(AND($D83&lt;&gt;"",COUNTIFS('Invoice &amp; Delivery Log'!$D$8:$D$157,$D83,'Invoice &amp; Delivery Log'!$B$8:$B$157,$B83)&gt;1),"Duplicate supplier invoice number. ","")&amp;IF($E83="","Missing PO number. ","")&amp;IF($H83="","Missing invoice date. ","")&amp;IF(N($N83)&lt;=0,"Invoice amount must be greater than zero. ","")&amp;IF(AND($H83&lt;&gt;"",$H83&gt;Settings!$C$5),"Invoice date is in the future. ","")&amp;IF(AND($K83="Received in Full",$J83=""),"Missing actual delivery date. ","")&amp;IF(ROUND(N($O83)-N($N83),2)&gt;0,"Payments exceed the invoice amount. ","")&amp;IF(AND($K83="Rejected",N($O83)&gt;0),"Payment made on a rejected delivery. ","")&amp;IF(AND($B83&lt;&gt;"",IFERROR(INDEX('Vendor Master'!$H$8:$H$47,MATCH($B83,'Vendor Master'!$A$8:$A$47,0)),"")="Inactive",ROUND(N($P83),2)&gt;0),"Open balance with an inactive vendor. ","")))</f>
        <v/>
      </c>
      <c r="Y83" s="53" t="str">
        <f aca="false">IF($A83="","",IF(ROUND($P83,2)&gt;0.004,"Yes","No"))</f>
        <v/>
      </c>
      <c r="Z83" s="49" t="str">
        <f aca="false">IF(OR($Y83&lt;&gt;"Yes",$M83=""),"",COUNTIFS('Invoice &amp; Delivery Log'!$Y$8:$Y$157,"Yes",'Invoice &amp; Delivery Log'!$M$8:$M$157,"&lt;"&amp;$M83)+COUNTIFS('Invoice &amp; Delivery Log'!$Y$8:$Y$157,"Yes",'Invoice &amp; Delivery Log'!$M$8:$M$157,$M83,'Invoice &amp; Delivery Log'!$A$8:$A$157,"&lt;"&amp;$A83)+1)</f>
        <v/>
      </c>
    </row>
    <row r="84" customFormat="false" ht="15" hidden="false" customHeight="true" outlineLevel="0" collapsed="false">
      <c r="A84" s="44"/>
      <c r="B84" s="44"/>
      <c r="C84" s="55" t="str">
        <f aca="false">IF($B84="","",IFERROR(INDEX('Vendor Master'!$B$8:$B$47,MATCH($B84,'Vendor Master'!$A$8:$A$47,0)),"NOT FOUND"))</f>
        <v/>
      </c>
      <c r="D84" s="44"/>
      <c r="E84" s="45"/>
      <c r="F84" s="55" t="str">
        <f aca="false">IF($B84="","",IFERROR(INDEX('Vendor Master'!$C$8:$C$47,MATCH($B84,'Vendor Master'!$A$8:$A$47,0)),""))</f>
        <v/>
      </c>
      <c r="G84" s="45"/>
      <c r="H84" s="56"/>
      <c r="I84" s="56"/>
      <c r="J84" s="56"/>
      <c r="K84" s="44"/>
      <c r="L84" s="57" t="str">
        <f aca="false">IF($B84="","",IFERROR(INDEX('Vendor Master'!$G$8:$G$47,MATCH($B84,'Vendor Master'!$A$8:$A$47,0)),""))</f>
        <v/>
      </c>
      <c r="M84" s="37" t="str">
        <f aca="false">IF(OR($H84="",$L84=""),"",$H84+$L84)</f>
        <v/>
      </c>
      <c r="N84" s="58"/>
      <c r="O84" s="30" t="str">
        <f aca="false">IF($A84="","",SUMIFS('Payments Log'!$F$8:$F$207,'Payments Log'!$B$8:$B$207,$A84))</f>
        <v/>
      </c>
      <c r="P84" s="30" t="str">
        <f aca="false">IF($A84="","",ROUND($N84-$O84,2))</f>
        <v/>
      </c>
      <c r="Q84" s="36" t="str">
        <f aca="false">IF($A84="","",IF(N($N84)&lt;=0,"Check Amount",IF(ROUND($O84,2)&lt;=0,"Unpaid",IF(ROUND($O84-$N84,2)&gt;0,"Overpaid",IF(ROUND($P84,2)&lt;=0,"Paid","Partially Paid")))))</f>
        <v/>
      </c>
      <c r="R84" s="47" t="str">
        <f aca="false">IF(OR($A84="",$M84=""),"",IF(ROUND($P84,2)&lt;=0,0,MAX(0,Settings!$C$5-$M84-Settings!$C$7)))</f>
        <v/>
      </c>
      <c r="S84" s="30" t="str">
        <f aca="false">IF($A84="","",IF(N($R84)&gt;0,MAX($P84,0),0))</f>
        <v/>
      </c>
      <c r="T84" s="36" t="str">
        <f aca="false">IF($A84="","",IF(ROUND($P84,2)&lt;0,"Supplier Credit",IF(ROUND($P84,2)=0,"Closed",IF($M84="","No Due Date",IF(N($R84)&lt;=0,"Not Due Yet",IF(N($R84)&lt;=Settings!$C$8,"1-30 Days Overdue",IF(N($R84)&lt;=Settings!$C$9,"31-60 Days Overdue",IF(N($R84)&lt;=Settings!$C$10,"61-90 Days Overdue","90+ Days Overdue"))))))))</f>
        <v/>
      </c>
      <c r="U84" s="37" t="str">
        <f aca="false">IF($A84="","",IF(COUNTIFS('Payments Log'!$B$8:$B$207,$A84)=0,"",SUMPRODUCT(MAX(('Payments Log'!$B$8:$B$207=$A84)*'Payments Log'!$E$8:$E$207))))</f>
        <v/>
      </c>
      <c r="V84" s="36" t="str">
        <f aca="false">IF($A84="","",IF($J84="","Not Delivered",IF($I84="","No Target Date",IF($J84&lt;=$I84,"On Time","Late"))))</f>
        <v/>
      </c>
      <c r="W84" s="36" t="str">
        <f aca="false">IF($A84="","",IF($X84="","OK","REVIEW"))</f>
        <v/>
      </c>
      <c r="X84" s="28" t="str">
        <f aca="false">IF($A84="","",TRIM(IF($B84="","Missing vendor ID. ","")&amp;IF($C84="NOT FOUND","Vendor ID not in Vendor Master. ","")&amp;IF(COUNTIFS('Invoice &amp; Delivery Log'!$A$8:$A$157,$A84)&gt;1,"Duplicate invoice ID. ","")&amp;IF(AND($D84&lt;&gt;"",COUNTIFS('Invoice &amp; Delivery Log'!$D$8:$D$157,$D84,'Invoice &amp; Delivery Log'!$B$8:$B$157,$B84)&gt;1),"Duplicate supplier invoice number. ","")&amp;IF($E84="","Missing PO number. ","")&amp;IF($H84="","Missing invoice date. ","")&amp;IF(N($N84)&lt;=0,"Invoice amount must be greater than zero. ","")&amp;IF(AND($H84&lt;&gt;"",$H84&gt;Settings!$C$5),"Invoice date is in the future. ","")&amp;IF(AND($K84="Received in Full",$J84=""),"Missing actual delivery date. ","")&amp;IF(ROUND(N($O84)-N($N84),2)&gt;0,"Payments exceed the invoice amount. ","")&amp;IF(AND($K84="Rejected",N($O84)&gt;0),"Payment made on a rejected delivery. ","")&amp;IF(AND($B84&lt;&gt;"",IFERROR(INDEX('Vendor Master'!$H$8:$H$47,MATCH($B84,'Vendor Master'!$A$8:$A$47,0)),"")="Inactive",ROUND(N($P84),2)&gt;0),"Open balance with an inactive vendor. ","")))</f>
        <v/>
      </c>
      <c r="Y84" s="36" t="str">
        <f aca="false">IF($A84="","",IF(ROUND($P84,2)&gt;0.004,"Yes","No"))</f>
        <v/>
      </c>
      <c r="Z84" s="29" t="str">
        <f aca="false">IF(OR($Y84&lt;&gt;"Yes",$M84=""),"",COUNTIFS('Invoice &amp; Delivery Log'!$Y$8:$Y$157,"Yes",'Invoice &amp; Delivery Log'!$M$8:$M$157,"&lt;"&amp;$M84)+COUNTIFS('Invoice &amp; Delivery Log'!$Y$8:$Y$157,"Yes",'Invoice &amp; Delivery Log'!$M$8:$M$157,$M84,'Invoice &amp; Delivery Log'!$A$8:$A$157,"&lt;"&amp;$A84)+1)</f>
        <v/>
      </c>
    </row>
    <row r="85" customFormat="false" ht="15" hidden="false" customHeight="true" outlineLevel="0" collapsed="false">
      <c r="A85" s="44"/>
      <c r="B85" s="44"/>
      <c r="C85" s="59" t="str">
        <f aca="false">IF($B85="","",IFERROR(INDEX('Vendor Master'!$B$8:$B$47,MATCH($B85,'Vendor Master'!$A$8:$A$47,0)),"NOT FOUND"))</f>
        <v/>
      </c>
      <c r="D85" s="44"/>
      <c r="E85" s="45"/>
      <c r="F85" s="59" t="str">
        <f aca="false">IF($B85="","",IFERROR(INDEX('Vendor Master'!$C$8:$C$47,MATCH($B85,'Vendor Master'!$A$8:$A$47,0)),""))</f>
        <v/>
      </c>
      <c r="G85" s="45"/>
      <c r="H85" s="56"/>
      <c r="I85" s="56"/>
      <c r="J85" s="56"/>
      <c r="K85" s="44"/>
      <c r="L85" s="60" t="str">
        <f aca="false">IF($B85="","",IFERROR(INDEX('Vendor Master'!$G$8:$G$47,MATCH($B85,'Vendor Master'!$A$8:$A$47,0)),""))</f>
        <v/>
      </c>
      <c r="M85" s="61" t="str">
        <f aca="false">IF(OR($H85="",$L85=""),"",$H85+$L85)</f>
        <v/>
      </c>
      <c r="N85" s="58"/>
      <c r="O85" s="50" t="str">
        <f aca="false">IF($A85="","",SUMIFS('Payments Log'!$F$8:$F$207,'Payments Log'!$B$8:$B$207,$A85))</f>
        <v/>
      </c>
      <c r="P85" s="50" t="str">
        <f aca="false">IF($A85="","",ROUND($N85-$O85,2))</f>
        <v/>
      </c>
      <c r="Q85" s="53" t="str">
        <f aca="false">IF($A85="","",IF(N($N85)&lt;=0,"Check Amount",IF(ROUND($O85,2)&lt;=0,"Unpaid",IF(ROUND($O85-$N85,2)&gt;0,"Overpaid",IF(ROUND($P85,2)&lt;=0,"Paid","Partially Paid")))))</f>
        <v/>
      </c>
      <c r="R85" s="52" t="str">
        <f aca="false">IF(OR($A85="",$M85=""),"",IF(ROUND($P85,2)&lt;=0,0,MAX(0,Settings!$C$5-$M85-Settings!$C$7)))</f>
        <v/>
      </c>
      <c r="S85" s="50" t="str">
        <f aca="false">IF($A85="","",IF(N($R85)&gt;0,MAX($P85,0),0))</f>
        <v/>
      </c>
      <c r="T85" s="53" t="str">
        <f aca="false">IF($A85="","",IF(ROUND($P85,2)&lt;0,"Supplier Credit",IF(ROUND($P85,2)=0,"Closed",IF($M85="","No Due Date",IF(N($R85)&lt;=0,"Not Due Yet",IF(N($R85)&lt;=Settings!$C$8,"1-30 Days Overdue",IF(N($R85)&lt;=Settings!$C$9,"31-60 Days Overdue",IF(N($R85)&lt;=Settings!$C$10,"61-90 Days Overdue","90+ Days Overdue"))))))))</f>
        <v/>
      </c>
      <c r="U85" s="61" t="str">
        <f aca="false">IF($A85="","",IF(COUNTIFS('Payments Log'!$B$8:$B$207,$A85)=0,"",SUMPRODUCT(MAX(('Payments Log'!$B$8:$B$207=$A85)*'Payments Log'!$E$8:$E$207))))</f>
        <v/>
      </c>
      <c r="V85" s="53" t="str">
        <f aca="false">IF($A85="","",IF($J85="","Not Delivered",IF($I85="","No Target Date",IF($J85&lt;=$I85,"On Time","Late"))))</f>
        <v/>
      </c>
      <c r="W85" s="53" t="str">
        <f aca="false">IF($A85="","",IF($X85="","OK","REVIEW"))</f>
        <v/>
      </c>
      <c r="X85" s="62" t="str">
        <f aca="false">IF($A85="","",TRIM(IF($B85="","Missing vendor ID. ","")&amp;IF($C85="NOT FOUND","Vendor ID not in Vendor Master. ","")&amp;IF(COUNTIFS('Invoice &amp; Delivery Log'!$A$8:$A$157,$A85)&gt;1,"Duplicate invoice ID. ","")&amp;IF(AND($D85&lt;&gt;"",COUNTIFS('Invoice &amp; Delivery Log'!$D$8:$D$157,$D85,'Invoice &amp; Delivery Log'!$B$8:$B$157,$B85)&gt;1),"Duplicate supplier invoice number. ","")&amp;IF($E85="","Missing PO number. ","")&amp;IF($H85="","Missing invoice date. ","")&amp;IF(N($N85)&lt;=0,"Invoice amount must be greater than zero. ","")&amp;IF(AND($H85&lt;&gt;"",$H85&gt;Settings!$C$5),"Invoice date is in the future. ","")&amp;IF(AND($K85="Received in Full",$J85=""),"Missing actual delivery date. ","")&amp;IF(ROUND(N($O85)-N($N85),2)&gt;0,"Payments exceed the invoice amount. ","")&amp;IF(AND($K85="Rejected",N($O85)&gt;0),"Payment made on a rejected delivery. ","")&amp;IF(AND($B85&lt;&gt;"",IFERROR(INDEX('Vendor Master'!$H$8:$H$47,MATCH($B85,'Vendor Master'!$A$8:$A$47,0)),"")="Inactive",ROUND(N($P85),2)&gt;0),"Open balance with an inactive vendor. ","")))</f>
        <v/>
      </c>
      <c r="Y85" s="53" t="str">
        <f aca="false">IF($A85="","",IF(ROUND($P85,2)&gt;0.004,"Yes","No"))</f>
        <v/>
      </c>
      <c r="Z85" s="49" t="str">
        <f aca="false">IF(OR($Y85&lt;&gt;"Yes",$M85=""),"",COUNTIFS('Invoice &amp; Delivery Log'!$Y$8:$Y$157,"Yes",'Invoice &amp; Delivery Log'!$M$8:$M$157,"&lt;"&amp;$M85)+COUNTIFS('Invoice &amp; Delivery Log'!$Y$8:$Y$157,"Yes",'Invoice &amp; Delivery Log'!$M$8:$M$157,$M85,'Invoice &amp; Delivery Log'!$A$8:$A$157,"&lt;"&amp;$A85)+1)</f>
        <v/>
      </c>
    </row>
    <row r="86" customFormat="false" ht="15" hidden="false" customHeight="true" outlineLevel="0" collapsed="false">
      <c r="A86" s="44"/>
      <c r="B86" s="44"/>
      <c r="C86" s="55" t="str">
        <f aca="false">IF($B86="","",IFERROR(INDEX('Vendor Master'!$B$8:$B$47,MATCH($B86,'Vendor Master'!$A$8:$A$47,0)),"NOT FOUND"))</f>
        <v/>
      </c>
      <c r="D86" s="44"/>
      <c r="E86" s="45"/>
      <c r="F86" s="55" t="str">
        <f aca="false">IF($B86="","",IFERROR(INDEX('Vendor Master'!$C$8:$C$47,MATCH($B86,'Vendor Master'!$A$8:$A$47,0)),""))</f>
        <v/>
      </c>
      <c r="G86" s="45"/>
      <c r="H86" s="56"/>
      <c r="I86" s="56"/>
      <c r="J86" s="56"/>
      <c r="K86" s="44"/>
      <c r="L86" s="57" t="str">
        <f aca="false">IF($B86="","",IFERROR(INDEX('Vendor Master'!$G$8:$G$47,MATCH($B86,'Vendor Master'!$A$8:$A$47,0)),""))</f>
        <v/>
      </c>
      <c r="M86" s="37" t="str">
        <f aca="false">IF(OR($H86="",$L86=""),"",$H86+$L86)</f>
        <v/>
      </c>
      <c r="N86" s="58"/>
      <c r="O86" s="30" t="str">
        <f aca="false">IF($A86="","",SUMIFS('Payments Log'!$F$8:$F$207,'Payments Log'!$B$8:$B$207,$A86))</f>
        <v/>
      </c>
      <c r="P86" s="30" t="str">
        <f aca="false">IF($A86="","",ROUND($N86-$O86,2))</f>
        <v/>
      </c>
      <c r="Q86" s="36" t="str">
        <f aca="false">IF($A86="","",IF(N($N86)&lt;=0,"Check Amount",IF(ROUND($O86,2)&lt;=0,"Unpaid",IF(ROUND($O86-$N86,2)&gt;0,"Overpaid",IF(ROUND($P86,2)&lt;=0,"Paid","Partially Paid")))))</f>
        <v/>
      </c>
      <c r="R86" s="47" t="str">
        <f aca="false">IF(OR($A86="",$M86=""),"",IF(ROUND($P86,2)&lt;=0,0,MAX(0,Settings!$C$5-$M86-Settings!$C$7)))</f>
        <v/>
      </c>
      <c r="S86" s="30" t="str">
        <f aca="false">IF($A86="","",IF(N($R86)&gt;0,MAX($P86,0),0))</f>
        <v/>
      </c>
      <c r="T86" s="36" t="str">
        <f aca="false">IF($A86="","",IF(ROUND($P86,2)&lt;0,"Supplier Credit",IF(ROUND($P86,2)=0,"Closed",IF($M86="","No Due Date",IF(N($R86)&lt;=0,"Not Due Yet",IF(N($R86)&lt;=Settings!$C$8,"1-30 Days Overdue",IF(N($R86)&lt;=Settings!$C$9,"31-60 Days Overdue",IF(N($R86)&lt;=Settings!$C$10,"61-90 Days Overdue","90+ Days Overdue"))))))))</f>
        <v/>
      </c>
      <c r="U86" s="37" t="str">
        <f aca="false">IF($A86="","",IF(COUNTIFS('Payments Log'!$B$8:$B$207,$A86)=0,"",SUMPRODUCT(MAX(('Payments Log'!$B$8:$B$207=$A86)*'Payments Log'!$E$8:$E$207))))</f>
        <v/>
      </c>
      <c r="V86" s="36" t="str">
        <f aca="false">IF($A86="","",IF($J86="","Not Delivered",IF($I86="","No Target Date",IF($J86&lt;=$I86,"On Time","Late"))))</f>
        <v/>
      </c>
      <c r="W86" s="36" t="str">
        <f aca="false">IF($A86="","",IF($X86="","OK","REVIEW"))</f>
        <v/>
      </c>
      <c r="X86" s="28" t="str">
        <f aca="false">IF($A86="","",TRIM(IF($B86="","Missing vendor ID. ","")&amp;IF($C86="NOT FOUND","Vendor ID not in Vendor Master. ","")&amp;IF(COUNTIFS('Invoice &amp; Delivery Log'!$A$8:$A$157,$A86)&gt;1,"Duplicate invoice ID. ","")&amp;IF(AND($D86&lt;&gt;"",COUNTIFS('Invoice &amp; Delivery Log'!$D$8:$D$157,$D86,'Invoice &amp; Delivery Log'!$B$8:$B$157,$B86)&gt;1),"Duplicate supplier invoice number. ","")&amp;IF($E86="","Missing PO number. ","")&amp;IF($H86="","Missing invoice date. ","")&amp;IF(N($N86)&lt;=0,"Invoice amount must be greater than zero. ","")&amp;IF(AND($H86&lt;&gt;"",$H86&gt;Settings!$C$5),"Invoice date is in the future. ","")&amp;IF(AND($K86="Received in Full",$J86=""),"Missing actual delivery date. ","")&amp;IF(ROUND(N($O86)-N($N86),2)&gt;0,"Payments exceed the invoice amount. ","")&amp;IF(AND($K86="Rejected",N($O86)&gt;0),"Payment made on a rejected delivery. ","")&amp;IF(AND($B86&lt;&gt;"",IFERROR(INDEX('Vendor Master'!$H$8:$H$47,MATCH($B86,'Vendor Master'!$A$8:$A$47,0)),"")="Inactive",ROUND(N($P86),2)&gt;0),"Open balance with an inactive vendor. ","")))</f>
        <v/>
      </c>
      <c r="Y86" s="36" t="str">
        <f aca="false">IF($A86="","",IF(ROUND($P86,2)&gt;0.004,"Yes","No"))</f>
        <v/>
      </c>
      <c r="Z86" s="29" t="str">
        <f aca="false">IF(OR($Y86&lt;&gt;"Yes",$M86=""),"",COUNTIFS('Invoice &amp; Delivery Log'!$Y$8:$Y$157,"Yes",'Invoice &amp; Delivery Log'!$M$8:$M$157,"&lt;"&amp;$M86)+COUNTIFS('Invoice &amp; Delivery Log'!$Y$8:$Y$157,"Yes",'Invoice &amp; Delivery Log'!$M$8:$M$157,$M86,'Invoice &amp; Delivery Log'!$A$8:$A$157,"&lt;"&amp;$A86)+1)</f>
        <v/>
      </c>
    </row>
    <row r="87" customFormat="false" ht="15" hidden="false" customHeight="true" outlineLevel="0" collapsed="false">
      <c r="A87" s="44"/>
      <c r="B87" s="44"/>
      <c r="C87" s="59" t="str">
        <f aca="false">IF($B87="","",IFERROR(INDEX('Vendor Master'!$B$8:$B$47,MATCH($B87,'Vendor Master'!$A$8:$A$47,0)),"NOT FOUND"))</f>
        <v/>
      </c>
      <c r="D87" s="44"/>
      <c r="E87" s="45"/>
      <c r="F87" s="59" t="str">
        <f aca="false">IF($B87="","",IFERROR(INDEX('Vendor Master'!$C$8:$C$47,MATCH($B87,'Vendor Master'!$A$8:$A$47,0)),""))</f>
        <v/>
      </c>
      <c r="G87" s="45"/>
      <c r="H87" s="56"/>
      <c r="I87" s="56"/>
      <c r="J87" s="56"/>
      <c r="K87" s="44"/>
      <c r="L87" s="60" t="str">
        <f aca="false">IF($B87="","",IFERROR(INDEX('Vendor Master'!$G$8:$G$47,MATCH($B87,'Vendor Master'!$A$8:$A$47,0)),""))</f>
        <v/>
      </c>
      <c r="M87" s="61" t="str">
        <f aca="false">IF(OR($H87="",$L87=""),"",$H87+$L87)</f>
        <v/>
      </c>
      <c r="N87" s="58"/>
      <c r="O87" s="50" t="str">
        <f aca="false">IF($A87="","",SUMIFS('Payments Log'!$F$8:$F$207,'Payments Log'!$B$8:$B$207,$A87))</f>
        <v/>
      </c>
      <c r="P87" s="50" t="str">
        <f aca="false">IF($A87="","",ROUND($N87-$O87,2))</f>
        <v/>
      </c>
      <c r="Q87" s="53" t="str">
        <f aca="false">IF($A87="","",IF(N($N87)&lt;=0,"Check Amount",IF(ROUND($O87,2)&lt;=0,"Unpaid",IF(ROUND($O87-$N87,2)&gt;0,"Overpaid",IF(ROUND($P87,2)&lt;=0,"Paid","Partially Paid")))))</f>
        <v/>
      </c>
      <c r="R87" s="52" t="str">
        <f aca="false">IF(OR($A87="",$M87=""),"",IF(ROUND($P87,2)&lt;=0,0,MAX(0,Settings!$C$5-$M87-Settings!$C$7)))</f>
        <v/>
      </c>
      <c r="S87" s="50" t="str">
        <f aca="false">IF($A87="","",IF(N($R87)&gt;0,MAX($P87,0),0))</f>
        <v/>
      </c>
      <c r="T87" s="53" t="str">
        <f aca="false">IF($A87="","",IF(ROUND($P87,2)&lt;0,"Supplier Credit",IF(ROUND($P87,2)=0,"Closed",IF($M87="","No Due Date",IF(N($R87)&lt;=0,"Not Due Yet",IF(N($R87)&lt;=Settings!$C$8,"1-30 Days Overdue",IF(N($R87)&lt;=Settings!$C$9,"31-60 Days Overdue",IF(N($R87)&lt;=Settings!$C$10,"61-90 Days Overdue","90+ Days Overdue"))))))))</f>
        <v/>
      </c>
      <c r="U87" s="61" t="str">
        <f aca="false">IF($A87="","",IF(COUNTIFS('Payments Log'!$B$8:$B$207,$A87)=0,"",SUMPRODUCT(MAX(('Payments Log'!$B$8:$B$207=$A87)*'Payments Log'!$E$8:$E$207))))</f>
        <v/>
      </c>
      <c r="V87" s="53" t="str">
        <f aca="false">IF($A87="","",IF($J87="","Not Delivered",IF($I87="","No Target Date",IF($J87&lt;=$I87,"On Time","Late"))))</f>
        <v/>
      </c>
      <c r="W87" s="53" t="str">
        <f aca="false">IF($A87="","",IF($X87="","OK","REVIEW"))</f>
        <v/>
      </c>
      <c r="X87" s="62" t="str">
        <f aca="false">IF($A87="","",TRIM(IF($B87="","Missing vendor ID. ","")&amp;IF($C87="NOT FOUND","Vendor ID not in Vendor Master. ","")&amp;IF(COUNTIFS('Invoice &amp; Delivery Log'!$A$8:$A$157,$A87)&gt;1,"Duplicate invoice ID. ","")&amp;IF(AND($D87&lt;&gt;"",COUNTIFS('Invoice &amp; Delivery Log'!$D$8:$D$157,$D87,'Invoice &amp; Delivery Log'!$B$8:$B$157,$B87)&gt;1),"Duplicate supplier invoice number. ","")&amp;IF($E87="","Missing PO number. ","")&amp;IF($H87="","Missing invoice date. ","")&amp;IF(N($N87)&lt;=0,"Invoice amount must be greater than zero. ","")&amp;IF(AND($H87&lt;&gt;"",$H87&gt;Settings!$C$5),"Invoice date is in the future. ","")&amp;IF(AND($K87="Received in Full",$J87=""),"Missing actual delivery date. ","")&amp;IF(ROUND(N($O87)-N($N87),2)&gt;0,"Payments exceed the invoice amount. ","")&amp;IF(AND($K87="Rejected",N($O87)&gt;0),"Payment made on a rejected delivery. ","")&amp;IF(AND($B87&lt;&gt;"",IFERROR(INDEX('Vendor Master'!$H$8:$H$47,MATCH($B87,'Vendor Master'!$A$8:$A$47,0)),"")="Inactive",ROUND(N($P87),2)&gt;0),"Open balance with an inactive vendor. ","")))</f>
        <v/>
      </c>
      <c r="Y87" s="53" t="str">
        <f aca="false">IF($A87="","",IF(ROUND($P87,2)&gt;0.004,"Yes","No"))</f>
        <v/>
      </c>
      <c r="Z87" s="49" t="str">
        <f aca="false">IF(OR($Y87&lt;&gt;"Yes",$M87=""),"",COUNTIFS('Invoice &amp; Delivery Log'!$Y$8:$Y$157,"Yes",'Invoice &amp; Delivery Log'!$M$8:$M$157,"&lt;"&amp;$M87)+COUNTIFS('Invoice &amp; Delivery Log'!$Y$8:$Y$157,"Yes",'Invoice &amp; Delivery Log'!$M$8:$M$157,$M87,'Invoice &amp; Delivery Log'!$A$8:$A$157,"&lt;"&amp;$A87)+1)</f>
        <v/>
      </c>
    </row>
    <row r="88" customFormat="false" ht="15" hidden="false" customHeight="true" outlineLevel="0" collapsed="false">
      <c r="A88" s="44"/>
      <c r="B88" s="44"/>
      <c r="C88" s="55" t="str">
        <f aca="false">IF($B88="","",IFERROR(INDEX('Vendor Master'!$B$8:$B$47,MATCH($B88,'Vendor Master'!$A$8:$A$47,0)),"NOT FOUND"))</f>
        <v/>
      </c>
      <c r="D88" s="44"/>
      <c r="E88" s="45"/>
      <c r="F88" s="55" t="str">
        <f aca="false">IF($B88="","",IFERROR(INDEX('Vendor Master'!$C$8:$C$47,MATCH($B88,'Vendor Master'!$A$8:$A$47,0)),""))</f>
        <v/>
      </c>
      <c r="G88" s="45"/>
      <c r="H88" s="56"/>
      <c r="I88" s="56"/>
      <c r="J88" s="56"/>
      <c r="K88" s="44"/>
      <c r="L88" s="57" t="str">
        <f aca="false">IF($B88="","",IFERROR(INDEX('Vendor Master'!$G$8:$G$47,MATCH($B88,'Vendor Master'!$A$8:$A$47,0)),""))</f>
        <v/>
      </c>
      <c r="M88" s="37" t="str">
        <f aca="false">IF(OR($H88="",$L88=""),"",$H88+$L88)</f>
        <v/>
      </c>
      <c r="N88" s="58"/>
      <c r="O88" s="30" t="str">
        <f aca="false">IF($A88="","",SUMIFS('Payments Log'!$F$8:$F$207,'Payments Log'!$B$8:$B$207,$A88))</f>
        <v/>
      </c>
      <c r="P88" s="30" t="str">
        <f aca="false">IF($A88="","",ROUND($N88-$O88,2))</f>
        <v/>
      </c>
      <c r="Q88" s="36" t="str">
        <f aca="false">IF($A88="","",IF(N($N88)&lt;=0,"Check Amount",IF(ROUND($O88,2)&lt;=0,"Unpaid",IF(ROUND($O88-$N88,2)&gt;0,"Overpaid",IF(ROUND($P88,2)&lt;=0,"Paid","Partially Paid")))))</f>
        <v/>
      </c>
      <c r="R88" s="47" t="str">
        <f aca="false">IF(OR($A88="",$M88=""),"",IF(ROUND($P88,2)&lt;=0,0,MAX(0,Settings!$C$5-$M88-Settings!$C$7)))</f>
        <v/>
      </c>
      <c r="S88" s="30" t="str">
        <f aca="false">IF($A88="","",IF(N($R88)&gt;0,MAX($P88,0),0))</f>
        <v/>
      </c>
      <c r="T88" s="36" t="str">
        <f aca="false">IF($A88="","",IF(ROUND($P88,2)&lt;0,"Supplier Credit",IF(ROUND($P88,2)=0,"Closed",IF($M88="","No Due Date",IF(N($R88)&lt;=0,"Not Due Yet",IF(N($R88)&lt;=Settings!$C$8,"1-30 Days Overdue",IF(N($R88)&lt;=Settings!$C$9,"31-60 Days Overdue",IF(N($R88)&lt;=Settings!$C$10,"61-90 Days Overdue","90+ Days Overdue"))))))))</f>
        <v/>
      </c>
      <c r="U88" s="37" t="str">
        <f aca="false">IF($A88="","",IF(COUNTIFS('Payments Log'!$B$8:$B$207,$A88)=0,"",SUMPRODUCT(MAX(('Payments Log'!$B$8:$B$207=$A88)*'Payments Log'!$E$8:$E$207))))</f>
        <v/>
      </c>
      <c r="V88" s="36" t="str">
        <f aca="false">IF($A88="","",IF($J88="","Not Delivered",IF($I88="","No Target Date",IF($J88&lt;=$I88,"On Time","Late"))))</f>
        <v/>
      </c>
      <c r="W88" s="36" t="str">
        <f aca="false">IF($A88="","",IF($X88="","OK","REVIEW"))</f>
        <v/>
      </c>
      <c r="X88" s="28" t="str">
        <f aca="false">IF($A88="","",TRIM(IF($B88="","Missing vendor ID. ","")&amp;IF($C88="NOT FOUND","Vendor ID not in Vendor Master. ","")&amp;IF(COUNTIFS('Invoice &amp; Delivery Log'!$A$8:$A$157,$A88)&gt;1,"Duplicate invoice ID. ","")&amp;IF(AND($D88&lt;&gt;"",COUNTIFS('Invoice &amp; Delivery Log'!$D$8:$D$157,$D88,'Invoice &amp; Delivery Log'!$B$8:$B$157,$B88)&gt;1),"Duplicate supplier invoice number. ","")&amp;IF($E88="","Missing PO number. ","")&amp;IF($H88="","Missing invoice date. ","")&amp;IF(N($N88)&lt;=0,"Invoice amount must be greater than zero. ","")&amp;IF(AND($H88&lt;&gt;"",$H88&gt;Settings!$C$5),"Invoice date is in the future. ","")&amp;IF(AND($K88="Received in Full",$J88=""),"Missing actual delivery date. ","")&amp;IF(ROUND(N($O88)-N($N88),2)&gt;0,"Payments exceed the invoice amount. ","")&amp;IF(AND($K88="Rejected",N($O88)&gt;0),"Payment made on a rejected delivery. ","")&amp;IF(AND($B88&lt;&gt;"",IFERROR(INDEX('Vendor Master'!$H$8:$H$47,MATCH($B88,'Vendor Master'!$A$8:$A$47,0)),"")="Inactive",ROUND(N($P88),2)&gt;0),"Open balance with an inactive vendor. ","")))</f>
        <v/>
      </c>
      <c r="Y88" s="36" t="str">
        <f aca="false">IF($A88="","",IF(ROUND($P88,2)&gt;0.004,"Yes","No"))</f>
        <v/>
      </c>
      <c r="Z88" s="29" t="str">
        <f aca="false">IF(OR($Y88&lt;&gt;"Yes",$M88=""),"",COUNTIFS('Invoice &amp; Delivery Log'!$Y$8:$Y$157,"Yes",'Invoice &amp; Delivery Log'!$M$8:$M$157,"&lt;"&amp;$M88)+COUNTIFS('Invoice &amp; Delivery Log'!$Y$8:$Y$157,"Yes",'Invoice &amp; Delivery Log'!$M$8:$M$157,$M88,'Invoice &amp; Delivery Log'!$A$8:$A$157,"&lt;"&amp;$A88)+1)</f>
        <v/>
      </c>
    </row>
    <row r="89" customFormat="false" ht="15" hidden="false" customHeight="true" outlineLevel="0" collapsed="false">
      <c r="A89" s="44"/>
      <c r="B89" s="44"/>
      <c r="C89" s="59" t="str">
        <f aca="false">IF($B89="","",IFERROR(INDEX('Vendor Master'!$B$8:$B$47,MATCH($B89,'Vendor Master'!$A$8:$A$47,0)),"NOT FOUND"))</f>
        <v/>
      </c>
      <c r="D89" s="44"/>
      <c r="E89" s="45"/>
      <c r="F89" s="59" t="str">
        <f aca="false">IF($B89="","",IFERROR(INDEX('Vendor Master'!$C$8:$C$47,MATCH($B89,'Vendor Master'!$A$8:$A$47,0)),""))</f>
        <v/>
      </c>
      <c r="G89" s="45"/>
      <c r="H89" s="56"/>
      <c r="I89" s="56"/>
      <c r="J89" s="56"/>
      <c r="K89" s="44"/>
      <c r="L89" s="60" t="str">
        <f aca="false">IF($B89="","",IFERROR(INDEX('Vendor Master'!$G$8:$G$47,MATCH($B89,'Vendor Master'!$A$8:$A$47,0)),""))</f>
        <v/>
      </c>
      <c r="M89" s="61" t="str">
        <f aca="false">IF(OR($H89="",$L89=""),"",$H89+$L89)</f>
        <v/>
      </c>
      <c r="N89" s="58"/>
      <c r="O89" s="50" t="str">
        <f aca="false">IF($A89="","",SUMIFS('Payments Log'!$F$8:$F$207,'Payments Log'!$B$8:$B$207,$A89))</f>
        <v/>
      </c>
      <c r="P89" s="50" t="str">
        <f aca="false">IF($A89="","",ROUND($N89-$O89,2))</f>
        <v/>
      </c>
      <c r="Q89" s="53" t="str">
        <f aca="false">IF($A89="","",IF(N($N89)&lt;=0,"Check Amount",IF(ROUND($O89,2)&lt;=0,"Unpaid",IF(ROUND($O89-$N89,2)&gt;0,"Overpaid",IF(ROUND($P89,2)&lt;=0,"Paid","Partially Paid")))))</f>
        <v/>
      </c>
      <c r="R89" s="52" t="str">
        <f aca="false">IF(OR($A89="",$M89=""),"",IF(ROUND($P89,2)&lt;=0,0,MAX(0,Settings!$C$5-$M89-Settings!$C$7)))</f>
        <v/>
      </c>
      <c r="S89" s="50" t="str">
        <f aca="false">IF($A89="","",IF(N($R89)&gt;0,MAX($P89,0),0))</f>
        <v/>
      </c>
      <c r="T89" s="53" t="str">
        <f aca="false">IF($A89="","",IF(ROUND($P89,2)&lt;0,"Supplier Credit",IF(ROUND($P89,2)=0,"Closed",IF($M89="","No Due Date",IF(N($R89)&lt;=0,"Not Due Yet",IF(N($R89)&lt;=Settings!$C$8,"1-30 Days Overdue",IF(N($R89)&lt;=Settings!$C$9,"31-60 Days Overdue",IF(N($R89)&lt;=Settings!$C$10,"61-90 Days Overdue","90+ Days Overdue"))))))))</f>
        <v/>
      </c>
      <c r="U89" s="61" t="str">
        <f aca="false">IF($A89="","",IF(COUNTIFS('Payments Log'!$B$8:$B$207,$A89)=0,"",SUMPRODUCT(MAX(('Payments Log'!$B$8:$B$207=$A89)*'Payments Log'!$E$8:$E$207))))</f>
        <v/>
      </c>
      <c r="V89" s="53" t="str">
        <f aca="false">IF($A89="","",IF($J89="","Not Delivered",IF($I89="","No Target Date",IF($J89&lt;=$I89,"On Time","Late"))))</f>
        <v/>
      </c>
      <c r="W89" s="53" t="str">
        <f aca="false">IF($A89="","",IF($X89="","OK","REVIEW"))</f>
        <v/>
      </c>
      <c r="X89" s="62" t="str">
        <f aca="false">IF($A89="","",TRIM(IF($B89="","Missing vendor ID. ","")&amp;IF($C89="NOT FOUND","Vendor ID not in Vendor Master. ","")&amp;IF(COUNTIFS('Invoice &amp; Delivery Log'!$A$8:$A$157,$A89)&gt;1,"Duplicate invoice ID. ","")&amp;IF(AND($D89&lt;&gt;"",COUNTIFS('Invoice &amp; Delivery Log'!$D$8:$D$157,$D89,'Invoice &amp; Delivery Log'!$B$8:$B$157,$B89)&gt;1),"Duplicate supplier invoice number. ","")&amp;IF($E89="","Missing PO number. ","")&amp;IF($H89="","Missing invoice date. ","")&amp;IF(N($N89)&lt;=0,"Invoice amount must be greater than zero. ","")&amp;IF(AND($H89&lt;&gt;"",$H89&gt;Settings!$C$5),"Invoice date is in the future. ","")&amp;IF(AND($K89="Received in Full",$J89=""),"Missing actual delivery date. ","")&amp;IF(ROUND(N($O89)-N($N89),2)&gt;0,"Payments exceed the invoice amount. ","")&amp;IF(AND($K89="Rejected",N($O89)&gt;0),"Payment made on a rejected delivery. ","")&amp;IF(AND($B89&lt;&gt;"",IFERROR(INDEX('Vendor Master'!$H$8:$H$47,MATCH($B89,'Vendor Master'!$A$8:$A$47,0)),"")="Inactive",ROUND(N($P89),2)&gt;0),"Open balance with an inactive vendor. ","")))</f>
        <v/>
      </c>
      <c r="Y89" s="53" t="str">
        <f aca="false">IF($A89="","",IF(ROUND($P89,2)&gt;0.004,"Yes","No"))</f>
        <v/>
      </c>
      <c r="Z89" s="49" t="str">
        <f aca="false">IF(OR($Y89&lt;&gt;"Yes",$M89=""),"",COUNTIFS('Invoice &amp; Delivery Log'!$Y$8:$Y$157,"Yes",'Invoice &amp; Delivery Log'!$M$8:$M$157,"&lt;"&amp;$M89)+COUNTIFS('Invoice &amp; Delivery Log'!$Y$8:$Y$157,"Yes",'Invoice &amp; Delivery Log'!$M$8:$M$157,$M89,'Invoice &amp; Delivery Log'!$A$8:$A$157,"&lt;"&amp;$A89)+1)</f>
        <v/>
      </c>
    </row>
    <row r="90" customFormat="false" ht="15" hidden="false" customHeight="true" outlineLevel="0" collapsed="false">
      <c r="A90" s="44"/>
      <c r="B90" s="44"/>
      <c r="C90" s="55" t="str">
        <f aca="false">IF($B90="","",IFERROR(INDEX('Vendor Master'!$B$8:$B$47,MATCH($B90,'Vendor Master'!$A$8:$A$47,0)),"NOT FOUND"))</f>
        <v/>
      </c>
      <c r="D90" s="44"/>
      <c r="E90" s="45"/>
      <c r="F90" s="55" t="str">
        <f aca="false">IF($B90="","",IFERROR(INDEX('Vendor Master'!$C$8:$C$47,MATCH($B90,'Vendor Master'!$A$8:$A$47,0)),""))</f>
        <v/>
      </c>
      <c r="G90" s="45"/>
      <c r="H90" s="56"/>
      <c r="I90" s="56"/>
      <c r="J90" s="56"/>
      <c r="K90" s="44"/>
      <c r="L90" s="57" t="str">
        <f aca="false">IF($B90="","",IFERROR(INDEX('Vendor Master'!$G$8:$G$47,MATCH($B90,'Vendor Master'!$A$8:$A$47,0)),""))</f>
        <v/>
      </c>
      <c r="M90" s="37" t="str">
        <f aca="false">IF(OR($H90="",$L90=""),"",$H90+$L90)</f>
        <v/>
      </c>
      <c r="N90" s="58"/>
      <c r="O90" s="30" t="str">
        <f aca="false">IF($A90="","",SUMIFS('Payments Log'!$F$8:$F$207,'Payments Log'!$B$8:$B$207,$A90))</f>
        <v/>
      </c>
      <c r="P90" s="30" t="str">
        <f aca="false">IF($A90="","",ROUND($N90-$O90,2))</f>
        <v/>
      </c>
      <c r="Q90" s="36" t="str">
        <f aca="false">IF($A90="","",IF(N($N90)&lt;=0,"Check Amount",IF(ROUND($O90,2)&lt;=0,"Unpaid",IF(ROUND($O90-$N90,2)&gt;0,"Overpaid",IF(ROUND($P90,2)&lt;=0,"Paid","Partially Paid")))))</f>
        <v/>
      </c>
      <c r="R90" s="47" t="str">
        <f aca="false">IF(OR($A90="",$M90=""),"",IF(ROUND($P90,2)&lt;=0,0,MAX(0,Settings!$C$5-$M90-Settings!$C$7)))</f>
        <v/>
      </c>
      <c r="S90" s="30" t="str">
        <f aca="false">IF($A90="","",IF(N($R90)&gt;0,MAX($P90,0),0))</f>
        <v/>
      </c>
      <c r="T90" s="36" t="str">
        <f aca="false">IF($A90="","",IF(ROUND($P90,2)&lt;0,"Supplier Credit",IF(ROUND($P90,2)=0,"Closed",IF($M90="","No Due Date",IF(N($R90)&lt;=0,"Not Due Yet",IF(N($R90)&lt;=Settings!$C$8,"1-30 Days Overdue",IF(N($R90)&lt;=Settings!$C$9,"31-60 Days Overdue",IF(N($R90)&lt;=Settings!$C$10,"61-90 Days Overdue","90+ Days Overdue"))))))))</f>
        <v/>
      </c>
      <c r="U90" s="37" t="str">
        <f aca="false">IF($A90="","",IF(COUNTIFS('Payments Log'!$B$8:$B$207,$A90)=0,"",SUMPRODUCT(MAX(('Payments Log'!$B$8:$B$207=$A90)*'Payments Log'!$E$8:$E$207))))</f>
        <v/>
      </c>
      <c r="V90" s="36" t="str">
        <f aca="false">IF($A90="","",IF($J90="","Not Delivered",IF($I90="","No Target Date",IF($J90&lt;=$I90,"On Time","Late"))))</f>
        <v/>
      </c>
      <c r="W90" s="36" t="str">
        <f aca="false">IF($A90="","",IF($X90="","OK","REVIEW"))</f>
        <v/>
      </c>
      <c r="X90" s="28" t="str">
        <f aca="false">IF($A90="","",TRIM(IF($B90="","Missing vendor ID. ","")&amp;IF($C90="NOT FOUND","Vendor ID not in Vendor Master. ","")&amp;IF(COUNTIFS('Invoice &amp; Delivery Log'!$A$8:$A$157,$A90)&gt;1,"Duplicate invoice ID. ","")&amp;IF(AND($D90&lt;&gt;"",COUNTIFS('Invoice &amp; Delivery Log'!$D$8:$D$157,$D90,'Invoice &amp; Delivery Log'!$B$8:$B$157,$B90)&gt;1),"Duplicate supplier invoice number. ","")&amp;IF($E90="","Missing PO number. ","")&amp;IF($H90="","Missing invoice date. ","")&amp;IF(N($N90)&lt;=0,"Invoice amount must be greater than zero. ","")&amp;IF(AND($H90&lt;&gt;"",$H90&gt;Settings!$C$5),"Invoice date is in the future. ","")&amp;IF(AND($K90="Received in Full",$J90=""),"Missing actual delivery date. ","")&amp;IF(ROUND(N($O90)-N($N90),2)&gt;0,"Payments exceed the invoice amount. ","")&amp;IF(AND($K90="Rejected",N($O90)&gt;0),"Payment made on a rejected delivery. ","")&amp;IF(AND($B90&lt;&gt;"",IFERROR(INDEX('Vendor Master'!$H$8:$H$47,MATCH($B90,'Vendor Master'!$A$8:$A$47,0)),"")="Inactive",ROUND(N($P90),2)&gt;0),"Open balance with an inactive vendor. ","")))</f>
        <v/>
      </c>
      <c r="Y90" s="36" t="str">
        <f aca="false">IF($A90="","",IF(ROUND($P90,2)&gt;0.004,"Yes","No"))</f>
        <v/>
      </c>
      <c r="Z90" s="29" t="str">
        <f aca="false">IF(OR($Y90&lt;&gt;"Yes",$M90=""),"",COUNTIFS('Invoice &amp; Delivery Log'!$Y$8:$Y$157,"Yes",'Invoice &amp; Delivery Log'!$M$8:$M$157,"&lt;"&amp;$M90)+COUNTIFS('Invoice &amp; Delivery Log'!$Y$8:$Y$157,"Yes",'Invoice &amp; Delivery Log'!$M$8:$M$157,$M90,'Invoice &amp; Delivery Log'!$A$8:$A$157,"&lt;"&amp;$A90)+1)</f>
        <v/>
      </c>
    </row>
    <row r="91" customFormat="false" ht="15" hidden="false" customHeight="true" outlineLevel="0" collapsed="false">
      <c r="A91" s="44"/>
      <c r="B91" s="44"/>
      <c r="C91" s="59" t="str">
        <f aca="false">IF($B91="","",IFERROR(INDEX('Vendor Master'!$B$8:$B$47,MATCH($B91,'Vendor Master'!$A$8:$A$47,0)),"NOT FOUND"))</f>
        <v/>
      </c>
      <c r="D91" s="44"/>
      <c r="E91" s="45"/>
      <c r="F91" s="59" t="str">
        <f aca="false">IF($B91="","",IFERROR(INDEX('Vendor Master'!$C$8:$C$47,MATCH($B91,'Vendor Master'!$A$8:$A$47,0)),""))</f>
        <v/>
      </c>
      <c r="G91" s="45"/>
      <c r="H91" s="56"/>
      <c r="I91" s="56"/>
      <c r="J91" s="56"/>
      <c r="K91" s="44"/>
      <c r="L91" s="60" t="str">
        <f aca="false">IF($B91="","",IFERROR(INDEX('Vendor Master'!$G$8:$G$47,MATCH($B91,'Vendor Master'!$A$8:$A$47,0)),""))</f>
        <v/>
      </c>
      <c r="M91" s="61" t="str">
        <f aca="false">IF(OR($H91="",$L91=""),"",$H91+$L91)</f>
        <v/>
      </c>
      <c r="N91" s="58"/>
      <c r="O91" s="50" t="str">
        <f aca="false">IF($A91="","",SUMIFS('Payments Log'!$F$8:$F$207,'Payments Log'!$B$8:$B$207,$A91))</f>
        <v/>
      </c>
      <c r="P91" s="50" t="str">
        <f aca="false">IF($A91="","",ROUND($N91-$O91,2))</f>
        <v/>
      </c>
      <c r="Q91" s="53" t="str">
        <f aca="false">IF($A91="","",IF(N($N91)&lt;=0,"Check Amount",IF(ROUND($O91,2)&lt;=0,"Unpaid",IF(ROUND($O91-$N91,2)&gt;0,"Overpaid",IF(ROUND($P91,2)&lt;=0,"Paid","Partially Paid")))))</f>
        <v/>
      </c>
      <c r="R91" s="52" t="str">
        <f aca="false">IF(OR($A91="",$M91=""),"",IF(ROUND($P91,2)&lt;=0,0,MAX(0,Settings!$C$5-$M91-Settings!$C$7)))</f>
        <v/>
      </c>
      <c r="S91" s="50" t="str">
        <f aca="false">IF($A91="","",IF(N($R91)&gt;0,MAX($P91,0),0))</f>
        <v/>
      </c>
      <c r="T91" s="53" t="str">
        <f aca="false">IF($A91="","",IF(ROUND($P91,2)&lt;0,"Supplier Credit",IF(ROUND($P91,2)=0,"Closed",IF($M91="","No Due Date",IF(N($R91)&lt;=0,"Not Due Yet",IF(N($R91)&lt;=Settings!$C$8,"1-30 Days Overdue",IF(N($R91)&lt;=Settings!$C$9,"31-60 Days Overdue",IF(N($R91)&lt;=Settings!$C$10,"61-90 Days Overdue","90+ Days Overdue"))))))))</f>
        <v/>
      </c>
      <c r="U91" s="61" t="str">
        <f aca="false">IF($A91="","",IF(COUNTIFS('Payments Log'!$B$8:$B$207,$A91)=0,"",SUMPRODUCT(MAX(('Payments Log'!$B$8:$B$207=$A91)*'Payments Log'!$E$8:$E$207))))</f>
        <v/>
      </c>
      <c r="V91" s="53" t="str">
        <f aca="false">IF($A91="","",IF($J91="","Not Delivered",IF($I91="","No Target Date",IF($J91&lt;=$I91,"On Time","Late"))))</f>
        <v/>
      </c>
      <c r="W91" s="53" t="str">
        <f aca="false">IF($A91="","",IF($X91="","OK","REVIEW"))</f>
        <v/>
      </c>
      <c r="X91" s="62" t="str">
        <f aca="false">IF($A91="","",TRIM(IF($B91="","Missing vendor ID. ","")&amp;IF($C91="NOT FOUND","Vendor ID not in Vendor Master. ","")&amp;IF(COUNTIFS('Invoice &amp; Delivery Log'!$A$8:$A$157,$A91)&gt;1,"Duplicate invoice ID. ","")&amp;IF(AND($D91&lt;&gt;"",COUNTIFS('Invoice &amp; Delivery Log'!$D$8:$D$157,$D91,'Invoice &amp; Delivery Log'!$B$8:$B$157,$B91)&gt;1),"Duplicate supplier invoice number. ","")&amp;IF($E91="","Missing PO number. ","")&amp;IF($H91="","Missing invoice date. ","")&amp;IF(N($N91)&lt;=0,"Invoice amount must be greater than zero. ","")&amp;IF(AND($H91&lt;&gt;"",$H91&gt;Settings!$C$5),"Invoice date is in the future. ","")&amp;IF(AND($K91="Received in Full",$J91=""),"Missing actual delivery date. ","")&amp;IF(ROUND(N($O91)-N($N91),2)&gt;0,"Payments exceed the invoice amount. ","")&amp;IF(AND($K91="Rejected",N($O91)&gt;0),"Payment made on a rejected delivery. ","")&amp;IF(AND($B91&lt;&gt;"",IFERROR(INDEX('Vendor Master'!$H$8:$H$47,MATCH($B91,'Vendor Master'!$A$8:$A$47,0)),"")="Inactive",ROUND(N($P91),2)&gt;0),"Open balance with an inactive vendor. ","")))</f>
        <v/>
      </c>
      <c r="Y91" s="53" t="str">
        <f aca="false">IF($A91="","",IF(ROUND($P91,2)&gt;0.004,"Yes","No"))</f>
        <v/>
      </c>
      <c r="Z91" s="49" t="str">
        <f aca="false">IF(OR($Y91&lt;&gt;"Yes",$M91=""),"",COUNTIFS('Invoice &amp; Delivery Log'!$Y$8:$Y$157,"Yes",'Invoice &amp; Delivery Log'!$M$8:$M$157,"&lt;"&amp;$M91)+COUNTIFS('Invoice &amp; Delivery Log'!$Y$8:$Y$157,"Yes",'Invoice &amp; Delivery Log'!$M$8:$M$157,$M91,'Invoice &amp; Delivery Log'!$A$8:$A$157,"&lt;"&amp;$A91)+1)</f>
        <v/>
      </c>
    </row>
    <row r="92" customFormat="false" ht="15" hidden="false" customHeight="true" outlineLevel="0" collapsed="false">
      <c r="A92" s="44"/>
      <c r="B92" s="44"/>
      <c r="C92" s="55" t="str">
        <f aca="false">IF($B92="","",IFERROR(INDEX('Vendor Master'!$B$8:$B$47,MATCH($B92,'Vendor Master'!$A$8:$A$47,0)),"NOT FOUND"))</f>
        <v/>
      </c>
      <c r="D92" s="44"/>
      <c r="E92" s="45"/>
      <c r="F92" s="55" t="str">
        <f aca="false">IF($B92="","",IFERROR(INDEX('Vendor Master'!$C$8:$C$47,MATCH($B92,'Vendor Master'!$A$8:$A$47,0)),""))</f>
        <v/>
      </c>
      <c r="G92" s="45"/>
      <c r="H92" s="56"/>
      <c r="I92" s="56"/>
      <c r="J92" s="56"/>
      <c r="K92" s="44"/>
      <c r="L92" s="57" t="str">
        <f aca="false">IF($B92="","",IFERROR(INDEX('Vendor Master'!$G$8:$G$47,MATCH($B92,'Vendor Master'!$A$8:$A$47,0)),""))</f>
        <v/>
      </c>
      <c r="M92" s="37" t="str">
        <f aca="false">IF(OR($H92="",$L92=""),"",$H92+$L92)</f>
        <v/>
      </c>
      <c r="N92" s="58"/>
      <c r="O92" s="30" t="str">
        <f aca="false">IF($A92="","",SUMIFS('Payments Log'!$F$8:$F$207,'Payments Log'!$B$8:$B$207,$A92))</f>
        <v/>
      </c>
      <c r="P92" s="30" t="str">
        <f aca="false">IF($A92="","",ROUND($N92-$O92,2))</f>
        <v/>
      </c>
      <c r="Q92" s="36" t="str">
        <f aca="false">IF($A92="","",IF(N($N92)&lt;=0,"Check Amount",IF(ROUND($O92,2)&lt;=0,"Unpaid",IF(ROUND($O92-$N92,2)&gt;0,"Overpaid",IF(ROUND($P92,2)&lt;=0,"Paid","Partially Paid")))))</f>
        <v/>
      </c>
      <c r="R92" s="47" t="str">
        <f aca="false">IF(OR($A92="",$M92=""),"",IF(ROUND($P92,2)&lt;=0,0,MAX(0,Settings!$C$5-$M92-Settings!$C$7)))</f>
        <v/>
      </c>
      <c r="S92" s="30" t="str">
        <f aca="false">IF($A92="","",IF(N($R92)&gt;0,MAX($P92,0),0))</f>
        <v/>
      </c>
      <c r="T92" s="36" t="str">
        <f aca="false">IF($A92="","",IF(ROUND($P92,2)&lt;0,"Supplier Credit",IF(ROUND($P92,2)=0,"Closed",IF($M92="","No Due Date",IF(N($R92)&lt;=0,"Not Due Yet",IF(N($R92)&lt;=Settings!$C$8,"1-30 Days Overdue",IF(N($R92)&lt;=Settings!$C$9,"31-60 Days Overdue",IF(N($R92)&lt;=Settings!$C$10,"61-90 Days Overdue","90+ Days Overdue"))))))))</f>
        <v/>
      </c>
      <c r="U92" s="37" t="str">
        <f aca="false">IF($A92="","",IF(COUNTIFS('Payments Log'!$B$8:$B$207,$A92)=0,"",SUMPRODUCT(MAX(('Payments Log'!$B$8:$B$207=$A92)*'Payments Log'!$E$8:$E$207))))</f>
        <v/>
      </c>
      <c r="V92" s="36" t="str">
        <f aca="false">IF($A92="","",IF($J92="","Not Delivered",IF($I92="","No Target Date",IF($J92&lt;=$I92,"On Time","Late"))))</f>
        <v/>
      </c>
      <c r="W92" s="36" t="str">
        <f aca="false">IF($A92="","",IF($X92="","OK","REVIEW"))</f>
        <v/>
      </c>
      <c r="X92" s="28" t="str">
        <f aca="false">IF($A92="","",TRIM(IF($B92="","Missing vendor ID. ","")&amp;IF($C92="NOT FOUND","Vendor ID not in Vendor Master. ","")&amp;IF(COUNTIFS('Invoice &amp; Delivery Log'!$A$8:$A$157,$A92)&gt;1,"Duplicate invoice ID. ","")&amp;IF(AND($D92&lt;&gt;"",COUNTIFS('Invoice &amp; Delivery Log'!$D$8:$D$157,$D92,'Invoice &amp; Delivery Log'!$B$8:$B$157,$B92)&gt;1),"Duplicate supplier invoice number. ","")&amp;IF($E92="","Missing PO number. ","")&amp;IF($H92="","Missing invoice date. ","")&amp;IF(N($N92)&lt;=0,"Invoice amount must be greater than zero. ","")&amp;IF(AND($H92&lt;&gt;"",$H92&gt;Settings!$C$5),"Invoice date is in the future. ","")&amp;IF(AND($K92="Received in Full",$J92=""),"Missing actual delivery date. ","")&amp;IF(ROUND(N($O92)-N($N92),2)&gt;0,"Payments exceed the invoice amount. ","")&amp;IF(AND($K92="Rejected",N($O92)&gt;0),"Payment made on a rejected delivery. ","")&amp;IF(AND($B92&lt;&gt;"",IFERROR(INDEX('Vendor Master'!$H$8:$H$47,MATCH($B92,'Vendor Master'!$A$8:$A$47,0)),"")="Inactive",ROUND(N($P92),2)&gt;0),"Open balance with an inactive vendor. ","")))</f>
        <v/>
      </c>
      <c r="Y92" s="36" t="str">
        <f aca="false">IF($A92="","",IF(ROUND($P92,2)&gt;0.004,"Yes","No"))</f>
        <v/>
      </c>
      <c r="Z92" s="29" t="str">
        <f aca="false">IF(OR($Y92&lt;&gt;"Yes",$M92=""),"",COUNTIFS('Invoice &amp; Delivery Log'!$Y$8:$Y$157,"Yes",'Invoice &amp; Delivery Log'!$M$8:$M$157,"&lt;"&amp;$M92)+COUNTIFS('Invoice &amp; Delivery Log'!$Y$8:$Y$157,"Yes",'Invoice &amp; Delivery Log'!$M$8:$M$157,$M92,'Invoice &amp; Delivery Log'!$A$8:$A$157,"&lt;"&amp;$A92)+1)</f>
        <v/>
      </c>
    </row>
    <row r="93" customFormat="false" ht="15" hidden="false" customHeight="true" outlineLevel="0" collapsed="false">
      <c r="A93" s="44"/>
      <c r="B93" s="44"/>
      <c r="C93" s="59" t="str">
        <f aca="false">IF($B93="","",IFERROR(INDEX('Vendor Master'!$B$8:$B$47,MATCH($B93,'Vendor Master'!$A$8:$A$47,0)),"NOT FOUND"))</f>
        <v/>
      </c>
      <c r="D93" s="44"/>
      <c r="E93" s="45"/>
      <c r="F93" s="59" t="str">
        <f aca="false">IF($B93="","",IFERROR(INDEX('Vendor Master'!$C$8:$C$47,MATCH($B93,'Vendor Master'!$A$8:$A$47,0)),""))</f>
        <v/>
      </c>
      <c r="G93" s="45"/>
      <c r="H93" s="56"/>
      <c r="I93" s="56"/>
      <c r="J93" s="56"/>
      <c r="K93" s="44"/>
      <c r="L93" s="60" t="str">
        <f aca="false">IF($B93="","",IFERROR(INDEX('Vendor Master'!$G$8:$G$47,MATCH($B93,'Vendor Master'!$A$8:$A$47,0)),""))</f>
        <v/>
      </c>
      <c r="M93" s="61" t="str">
        <f aca="false">IF(OR($H93="",$L93=""),"",$H93+$L93)</f>
        <v/>
      </c>
      <c r="N93" s="58"/>
      <c r="O93" s="50" t="str">
        <f aca="false">IF($A93="","",SUMIFS('Payments Log'!$F$8:$F$207,'Payments Log'!$B$8:$B$207,$A93))</f>
        <v/>
      </c>
      <c r="P93" s="50" t="str">
        <f aca="false">IF($A93="","",ROUND($N93-$O93,2))</f>
        <v/>
      </c>
      <c r="Q93" s="53" t="str">
        <f aca="false">IF($A93="","",IF(N($N93)&lt;=0,"Check Amount",IF(ROUND($O93,2)&lt;=0,"Unpaid",IF(ROUND($O93-$N93,2)&gt;0,"Overpaid",IF(ROUND($P93,2)&lt;=0,"Paid","Partially Paid")))))</f>
        <v/>
      </c>
      <c r="R93" s="52" t="str">
        <f aca="false">IF(OR($A93="",$M93=""),"",IF(ROUND($P93,2)&lt;=0,0,MAX(0,Settings!$C$5-$M93-Settings!$C$7)))</f>
        <v/>
      </c>
      <c r="S93" s="50" t="str">
        <f aca="false">IF($A93="","",IF(N($R93)&gt;0,MAX($P93,0),0))</f>
        <v/>
      </c>
      <c r="T93" s="53" t="str">
        <f aca="false">IF($A93="","",IF(ROUND($P93,2)&lt;0,"Supplier Credit",IF(ROUND($P93,2)=0,"Closed",IF($M93="","No Due Date",IF(N($R93)&lt;=0,"Not Due Yet",IF(N($R93)&lt;=Settings!$C$8,"1-30 Days Overdue",IF(N($R93)&lt;=Settings!$C$9,"31-60 Days Overdue",IF(N($R93)&lt;=Settings!$C$10,"61-90 Days Overdue","90+ Days Overdue"))))))))</f>
        <v/>
      </c>
      <c r="U93" s="61" t="str">
        <f aca="false">IF($A93="","",IF(COUNTIFS('Payments Log'!$B$8:$B$207,$A93)=0,"",SUMPRODUCT(MAX(('Payments Log'!$B$8:$B$207=$A93)*'Payments Log'!$E$8:$E$207))))</f>
        <v/>
      </c>
      <c r="V93" s="53" t="str">
        <f aca="false">IF($A93="","",IF($J93="","Not Delivered",IF($I93="","No Target Date",IF($J93&lt;=$I93,"On Time","Late"))))</f>
        <v/>
      </c>
      <c r="W93" s="53" t="str">
        <f aca="false">IF($A93="","",IF($X93="","OK","REVIEW"))</f>
        <v/>
      </c>
      <c r="X93" s="62" t="str">
        <f aca="false">IF($A93="","",TRIM(IF($B93="","Missing vendor ID. ","")&amp;IF($C93="NOT FOUND","Vendor ID not in Vendor Master. ","")&amp;IF(COUNTIFS('Invoice &amp; Delivery Log'!$A$8:$A$157,$A93)&gt;1,"Duplicate invoice ID. ","")&amp;IF(AND($D93&lt;&gt;"",COUNTIFS('Invoice &amp; Delivery Log'!$D$8:$D$157,$D93,'Invoice &amp; Delivery Log'!$B$8:$B$157,$B93)&gt;1),"Duplicate supplier invoice number. ","")&amp;IF($E93="","Missing PO number. ","")&amp;IF($H93="","Missing invoice date. ","")&amp;IF(N($N93)&lt;=0,"Invoice amount must be greater than zero. ","")&amp;IF(AND($H93&lt;&gt;"",$H93&gt;Settings!$C$5),"Invoice date is in the future. ","")&amp;IF(AND($K93="Received in Full",$J93=""),"Missing actual delivery date. ","")&amp;IF(ROUND(N($O93)-N($N93),2)&gt;0,"Payments exceed the invoice amount. ","")&amp;IF(AND($K93="Rejected",N($O93)&gt;0),"Payment made on a rejected delivery. ","")&amp;IF(AND($B93&lt;&gt;"",IFERROR(INDEX('Vendor Master'!$H$8:$H$47,MATCH($B93,'Vendor Master'!$A$8:$A$47,0)),"")="Inactive",ROUND(N($P93),2)&gt;0),"Open balance with an inactive vendor. ","")))</f>
        <v/>
      </c>
      <c r="Y93" s="53" t="str">
        <f aca="false">IF($A93="","",IF(ROUND($P93,2)&gt;0.004,"Yes","No"))</f>
        <v/>
      </c>
      <c r="Z93" s="49" t="str">
        <f aca="false">IF(OR($Y93&lt;&gt;"Yes",$M93=""),"",COUNTIFS('Invoice &amp; Delivery Log'!$Y$8:$Y$157,"Yes",'Invoice &amp; Delivery Log'!$M$8:$M$157,"&lt;"&amp;$M93)+COUNTIFS('Invoice &amp; Delivery Log'!$Y$8:$Y$157,"Yes",'Invoice &amp; Delivery Log'!$M$8:$M$157,$M93,'Invoice &amp; Delivery Log'!$A$8:$A$157,"&lt;"&amp;$A93)+1)</f>
        <v/>
      </c>
    </row>
    <row r="94" customFormat="false" ht="15" hidden="false" customHeight="true" outlineLevel="0" collapsed="false">
      <c r="A94" s="44"/>
      <c r="B94" s="44"/>
      <c r="C94" s="55" t="str">
        <f aca="false">IF($B94="","",IFERROR(INDEX('Vendor Master'!$B$8:$B$47,MATCH($B94,'Vendor Master'!$A$8:$A$47,0)),"NOT FOUND"))</f>
        <v/>
      </c>
      <c r="D94" s="44"/>
      <c r="E94" s="45"/>
      <c r="F94" s="55" t="str">
        <f aca="false">IF($B94="","",IFERROR(INDEX('Vendor Master'!$C$8:$C$47,MATCH($B94,'Vendor Master'!$A$8:$A$47,0)),""))</f>
        <v/>
      </c>
      <c r="G94" s="45"/>
      <c r="H94" s="56"/>
      <c r="I94" s="56"/>
      <c r="J94" s="56"/>
      <c r="K94" s="44"/>
      <c r="L94" s="57" t="str">
        <f aca="false">IF($B94="","",IFERROR(INDEX('Vendor Master'!$G$8:$G$47,MATCH($B94,'Vendor Master'!$A$8:$A$47,0)),""))</f>
        <v/>
      </c>
      <c r="M94" s="37" t="str">
        <f aca="false">IF(OR($H94="",$L94=""),"",$H94+$L94)</f>
        <v/>
      </c>
      <c r="N94" s="58"/>
      <c r="O94" s="30" t="str">
        <f aca="false">IF($A94="","",SUMIFS('Payments Log'!$F$8:$F$207,'Payments Log'!$B$8:$B$207,$A94))</f>
        <v/>
      </c>
      <c r="P94" s="30" t="str">
        <f aca="false">IF($A94="","",ROUND($N94-$O94,2))</f>
        <v/>
      </c>
      <c r="Q94" s="36" t="str">
        <f aca="false">IF($A94="","",IF(N($N94)&lt;=0,"Check Amount",IF(ROUND($O94,2)&lt;=0,"Unpaid",IF(ROUND($O94-$N94,2)&gt;0,"Overpaid",IF(ROUND($P94,2)&lt;=0,"Paid","Partially Paid")))))</f>
        <v/>
      </c>
      <c r="R94" s="47" t="str">
        <f aca="false">IF(OR($A94="",$M94=""),"",IF(ROUND($P94,2)&lt;=0,0,MAX(0,Settings!$C$5-$M94-Settings!$C$7)))</f>
        <v/>
      </c>
      <c r="S94" s="30" t="str">
        <f aca="false">IF($A94="","",IF(N($R94)&gt;0,MAX($P94,0),0))</f>
        <v/>
      </c>
      <c r="T94" s="36" t="str">
        <f aca="false">IF($A94="","",IF(ROUND($P94,2)&lt;0,"Supplier Credit",IF(ROUND($P94,2)=0,"Closed",IF($M94="","No Due Date",IF(N($R94)&lt;=0,"Not Due Yet",IF(N($R94)&lt;=Settings!$C$8,"1-30 Days Overdue",IF(N($R94)&lt;=Settings!$C$9,"31-60 Days Overdue",IF(N($R94)&lt;=Settings!$C$10,"61-90 Days Overdue","90+ Days Overdue"))))))))</f>
        <v/>
      </c>
      <c r="U94" s="37" t="str">
        <f aca="false">IF($A94="","",IF(COUNTIFS('Payments Log'!$B$8:$B$207,$A94)=0,"",SUMPRODUCT(MAX(('Payments Log'!$B$8:$B$207=$A94)*'Payments Log'!$E$8:$E$207))))</f>
        <v/>
      </c>
      <c r="V94" s="36" t="str">
        <f aca="false">IF($A94="","",IF($J94="","Not Delivered",IF($I94="","No Target Date",IF($J94&lt;=$I94,"On Time","Late"))))</f>
        <v/>
      </c>
      <c r="W94" s="36" t="str">
        <f aca="false">IF($A94="","",IF($X94="","OK","REVIEW"))</f>
        <v/>
      </c>
      <c r="X94" s="28" t="str">
        <f aca="false">IF($A94="","",TRIM(IF($B94="","Missing vendor ID. ","")&amp;IF($C94="NOT FOUND","Vendor ID not in Vendor Master. ","")&amp;IF(COUNTIFS('Invoice &amp; Delivery Log'!$A$8:$A$157,$A94)&gt;1,"Duplicate invoice ID. ","")&amp;IF(AND($D94&lt;&gt;"",COUNTIFS('Invoice &amp; Delivery Log'!$D$8:$D$157,$D94,'Invoice &amp; Delivery Log'!$B$8:$B$157,$B94)&gt;1),"Duplicate supplier invoice number. ","")&amp;IF($E94="","Missing PO number. ","")&amp;IF($H94="","Missing invoice date. ","")&amp;IF(N($N94)&lt;=0,"Invoice amount must be greater than zero. ","")&amp;IF(AND($H94&lt;&gt;"",$H94&gt;Settings!$C$5),"Invoice date is in the future. ","")&amp;IF(AND($K94="Received in Full",$J94=""),"Missing actual delivery date. ","")&amp;IF(ROUND(N($O94)-N($N94),2)&gt;0,"Payments exceed the invoice amount. ","")&amp;IF(AND($K94="Rejected",N($O94)&gt;0),"Payment made on a rejected delivery. ","")&amp;IF(AND($B94&lt;&gt;"",IFERROR(INDEX('Vendor Master'!$H$8:$H$47,MATCH($B94,'Vendor Master'!$A$8:$A$47,0)),"")="Inactive",ROUND(N($P94),2)&gt;0),"Open balance with an inactive vendor. ","")))</f>
        <v/>
      </c>
      <c r="Y94" s="36" t="str">
        <f aca="false">IF($A94="","",IF(ROUND($P94,2)&gt;0.004,"Yes","No"))</f>
        <v/>
      </c>
      <c r="Z94" s="29" t="str">
        <f aca="false">IF(OR($Y94&lt;&gt;"Yes",$M94=""),"",COUNTIFS('Invoice &amp; Delivery Log'!$Y$8:$Y$157,"Yes",'Invoice &amp; Delivery Log'!$M$8:$M$157,"&lt;"&amp;$M94)+COUNTIFS('Invoice &amp; Delivery Log'!$Y$8:$Y$157,"Yes",'Invoice &amp; Delivery Log'!$M$8:$M$157,$M94,'Invoice &amp; Delivery Log'!$A$8:$A$157,"&lt;"&amp;$A94)+1)</f>
        <v/>
      </c>
    </row>
    <row r="95" customFormat="false" ht="15" hidden="false" customHeight="true" outlineLevel="0" collapsed="false">
      <c r="A95" s="44"/>
      <c r="B95" s="44"/>
      <c r="C95" s="59" t="str">
        <f aca="false">IF($B95="","",IFERROR(INDEX('Vendor Master'!$B$8:$B$47,MATCH($B95,'Vendor Master'!$A$8:$A$47,0)),"NOT FOUND"))</f>
        <v/>
      </c>
      <c r="D95" s="44"/>
      <c r="E95" s="45"/>
      <c r="F95" s="59" t="str">
        <f aca="false">IF($B95="","",IFERROR(INDEX('Vendor Master'!$C$8:$C$47,MATCH($B95,'Vendor Master'!$A$8:$A$47,0)),""))</f>
        <v/>
      </c>
      <c r="G95" s="45"/>
      <c r="H95" s="56"/>
      <c r="I95" s="56"/>
      <c r="J95" s="56"/>
      <c r="K95" s="44"/>
      <c r="L95" s="60" t="str">
        <f aca="false">IF($B95="","",IFERROR(INDEX('Vendor Master'!$G$8:$G$47,MATCH($B95,'Vendor Master'!$A$8:$A$47,0)),""))</f>
        <v/>
      </c>
      <c r="M95" s="61" t="str">
        <f aca="false">IF(OR($H95="",$L95=""),"",$H95+$L95)</f>
        <v/>
      </c>
      <c r="N95" s="58"/>
      <c r="O95" s="50" t="str">
        <f aca="false">IF($A95="","",SUMIFS('Payments Log'!$F$8:$F$207,'Payments Log'!$B$8:$B$207,$A95))</f>
        <v/>
      </c>
      <c r="P95" s="50" t="str">
        <f aca="false">IF($A95="","",ROUND($N95-$O95,2))</f>
        <v/>
      </c>
      <c r="Q95" s="53" t="str">
        <f aca="false">IF($A95="","",IF(N($N95)&lt;=0,"Check Amount",IF(ROUND($O95,2)&lt;=0,"Unpaid",IF(ROUND($O95-$N95,2)&gt;0,"Overpaid",IF(ROUND($P95,2)&lt;=0,"Paid","Partially Paid")))))</f>
        <v/>
      </c>
      <c r="R95" s="52" t="str">
        <f aca="false">IF(OR($A95="",$M95=""),"",IF(ROUND($P95,2)&lt;=0,0,MAX(0,Settings!$C$5-$M95-Settings!$C$7)))</f>
        <v/>
      </c>
      <c r="S95" s="50" t="str">
        <f aca="false">IF($A95="","",IF(N($R95)&gt;0,MAX($P95,0),0))</f>
        <v/>
      </c>
      <c r="T95" s="53" t="str">
        <f aca="false">IF($A95="","",IF(ROUND($P95,2)&lt;0,"Supplier Credit",IF(ROUND($P95,2)=0,"Closed",IF($M95="","No Due Date",IF(N($R95)&lt;=0,"Not Due Yet",IF(N($R95)&lt;=Settings!$C$8,"1-30 Days Overdue",IF(N($R95)&lt;=Settings!$C$9,"31-60 Days Overdue",IF(N($R95)&lt;=Settings!$C$10,"61-90 Days Overdue","90+ Days Overdue"))))))))</f>
        <v/>
      </c>
      <c r="U95" s="61" t="str">
        <f aca="false">IF($A95="","",IF(COUNTIFS('Payments Log'!$B$8:$B$207,$A95)=0,"",SUMPRODUCT(MAX(('Payments Log'!$B$8:$B$207=$A95)*'Payments Log'!$E$8:$E$207))))</f>
        <v/>
      </c>
      <c r="V95" s="53" t="str">
        <f aca="false">IF($A95="","",IF($J95="","Not Delivered",IF($I95="","No Target Date",IF($J95&lt;=$I95,"On Time","Late"))))</f>
        <v/>
      </c>
      <c r="W95" s="53" t="str">
        <f aca="false">IF($A95="","",IF($X95="","OK","REVIEW"))</f>
        <v/>
      </c>
      <c r="X95" s="62" t="str">
        <f aca="false">IF($A95="","",TRIM(IF($B95="","Missing vendor ID. ","")&amp;IF($C95="NOT FOUND","Vendor ID not in Vendor Master. ","")&amp;IF(COUNTIFS('Invoice &amp; Delivery Log'!$A$8:$A$157,$A95)&gt;1,"Duplicate invoice ID. ","")&amp;IF(AND($D95&lt;&gt;"",COUNTIFS('Invoice &amp; Delivery Log'!$D$8:$D$157,$D95,'Invoice &amp; Delivery Log'!$B$8:$B$157,$B95)&gt;1),"Duplicate supplier invoice number. ","")&amp;IF($E95="","Missing PO number. ","")&amp;IF($H95="","Missing invoice date. ","")&amp;IF(N($N95)&lt;=0,"Invoice amount must be greater than zero. ","")&amp;IF(AND($H95&lt;&gt;"",$H95&gt;Settings!$C$5),"Invoice date is in the future. ","")&amp;IF(AND($K95="Received in Full",$J95=""),"Missing actual delivery date. ","")&amp;IF(ROUND(N($O95)-N($N95),2)&gt;0,"Payments exceed the invoice amount. ","")&amp;IF(AND($K95="Rejected",N($O95)&gt;0),"Payment made on a rejected delivery. ","")&amp;IF(AND($B95&lt;&gt;"",IFERROR(INDEX('Vendor Master'!$H$8:$H$47,MATCH($B95,'Vendor Master'!$A$8:$A$47,0)),"")="Inactive",ROUND(N($P95),2)&gt;0),"Open balance with an inactive vendor. ","")))</f>
        <v/>
      </c>
      <c r="Y95" s="53" t="str">
        <f aca="false">IF($A95="","",IF(ROUND($P95,2)&gt;0.004,"Yes","No"))</f>
        <v/>
      </c>
      <c r="Z95" s="49" t="str">
        <f aca="false">IF(OR($Y95&lt;&gt;"Yes",$M95=""),"",COUNTIFS('Invoice &amp; Delivery Log'!$Y$8:$Y$157,"Yes",'Invoice &amp; Delivery Log'!$M$8:$M$157,"&lt;"&amp;$M95)+COUNTIFS('Invoice &amp; Delivery Log'!$Y$8:$Y$157,"Yes",'Invoice &amp; Delivery Log'!$M$8:$M$157,$M95,'Invoice &amp; Delivery Log'!$A$8:$A$157,"&lt;"&amp;$A95)+1)</f>
        <v/>
      </c>
    </row>
    <row r="96" customFormat="false" ht="15" hidden="false" customHeight="true" outlineLevel="0" collapsed="false">
      <c r="A96" s="44"/>
      <c r="B96" s="44"/>
      <c r="C96" s="55" t="str">
        <f aca="false">IF($B96="","",IFERROR(INDEX('Vendor Master'!$B$8:$B$47,MATCH($B96,'Vendor Master'!$A$8:$A$47,0)),"NOT FOUND"))</f>
        <v/>
      </c>
      <c r="D96" s="44"/>
      <c r="E96" s="45"/>
      <c r="F96" s="55" t="str">
        <f aca="false">IF($B96="","",IFERROR(INDEX('Vendor Master'!$C$8:$C$47,MATCH($B96,'Vendor Master'!$A$8:$A$47,0)),""))</f>
        <v/>
      </c>
      <c r="G96" s="45"/>
      <c r="H96" s="56"/>
      <c r="I96" s="56"/>
      <c r="J96" s="56"/>
      <c r="K96" s="44"/>
      <c r="L96" s="57" t="str">
        <f aca="false">IF($B96="","",IFERROR(INDEX('Vendor Master'!$G$8:$G$47,MATCH($B96,'Vendor Master'!$A$8:$A$47,0)),""))</f>
        <v/>
      </c>
      <c r="M96" s="37" t="str">
        <f aca="false">IF(OR($H96="",$L96=""),"",$H96+$L96)</f>
        <v/>
      </c>
      <c r="N96" s="58"/>
      <c r="O96" s="30" t="str">
        <f aca="false">IF($A96="","",SUMIFS('Payments Log'!$F$8:$F$207,'Payments Log'!$B$8:$B$207,$A96))</f>
        <v/>
      </c>
      <c r="P96" s="30" t="str">
        <f aca="false">IF($A96="","",ROUND($N96-$O96,2))</f>
        <v/>
      </c>
      <c r="Q96" s="36" t="str">
        <f aca="false">IF($A96="","",IF(N($N96)&lt;=0,"Check Amount",IF(ROUND($O96,2)&lt;=0,"Unpaid",IF(ROUND($O96-$N96,2)&gt;0,"Overpaid",IF(ROUND($P96,2)&lt;=0,"Paid","Partially Paid")))))</f>
        <v/>
      </c>
      <c r="R96" s="47" t="str">
        <f aca="false">IF(OR($A96="",$M96=""),"",IF(ROUND($P96,2)&lt;=0,0,MAX(0,Settings!$C$5-$M96-Settings!$C$7)))</f>
        <v/>
      </c>
      <c r="S96" s="30" t="str">
        <f aca="false">IF($A96="","",IF(N($R96)&gt;0,MAX($P96,0),0))</f>
        <v/>
      </c>
      <c r="T96" s="36" t="str">
        <f aca="false">IF($A96="","",IF(ROUND($P96,2)&lt;0,"Supplier Credit",IF(ROUND($P96,2)=0,"Closed",IF($M96="","No Due Date",IF(N($R96)&lt;=0,"Not Due Yet",IF(N($R96)&lt;=Settings!$C$8,"1-30 Days Overdue",IF(N($R96)&lt;=Settings!$C$9,"31-60 Days Overdue",IF(N($R96)&lt;=Settings!$C$10,"61-90 Days Overdue","90+ Days Overdue"))))))))</f>
        <v/>
      </c>
      <c r="U96" s="37" t="str">
        <f aca="false">IF($A96="","",IF(COUNTIFS('Payments Log'!$B$8:$B$207,$A96)=0,"",SUMPRODUCT(MAX(('Payments Log'!$B$8:$B$207=$A96)*'Payments Log'!$E$8:$E$207))))</f>
        <v/>
      </c>
      <c r="V96" s="36" t="str">
        <f aca="false">IF($A96="","",IF($J96="","Not Delivered",IF($I96="","No Target Date",IF($J96&lt;=$I96,"On Time","Late"))))</f>
        <v/>
      </c>
      <c r="W96" s="36" t="str">
        <f aca="false">IF($A96="","",IF($X96="","OK","REVIEW"))</f>
        <v/>
      </c>
      <c r="X96" s="28" t="str">
        <f aca="false">IF($A96="","",TRIM(IF($B96="","Missing vendor ID. ","")&amp;IF($C96="NOT FOUND","Vendor ID not in Vendor Master. ","")&amp;IF(COUNTIFS('Invoice &amp; Delivery Log'!$A$8:$A$157,$A96)&gt;1,"Duplicate invoice ID. ","")&amp;IF(AND($D96&lt;&gt;"",COUNTIFS('Invoice &amp; Delivery Log'!$D$8:$D$157,$D96,'Invoice &amp; Delivery Log'!$B$8:$B$157,$B96)&gt;1),"Duplicate supplier invoice number. ","")&amp;IF($E96="","Missing PO number. ","")&amp;IF($H96="","Missing invoice date. ","")&amp;IF(N($N96)&lt;=0,"Invoice amount must be greater than zero. ","")&amp;IF(AND($H96&lt;&gt;"",$H96&gt;Settings!$C$5),"Invoice date is in the future. ","")&amp;IF(AND($K96="Received in Full",$J96=""),"Missing actual delivery date. ","")&amp;IF(ROUND(N($O96)-N($N96),2)&gt;0,"Payments exceed the invoice amount. ","")&amp;IF(AND($K96="Rejected",N($O96)&gt;0),"Payment made on a rejected delivery. ","")&amp;IF(AND($B96&lt;&gt;"",IFERROR(INDEX('Vendor Master'!$H$8:$H$47,MATCH($B96,'Vendor Master'!$A$8:$A$47,0)),"")="Inactive",ROUND(N($P96),2)&gt;0),"Open balance with an inactive vendor. ","")))</f>
        <v/>
      </c>
      <c r="Y96" s="36" t="str">
        <f aca="false">IF($A96="","",IF(ROUND($P96,2)&gt;0.004,"Yes","No"))</f>
        <v/>
      </c>
      <c r="Z96" s="29" t="str">
        <f aca="false">IF(OR($Y96&lt;&gt;"Yes",$M96=""),"",COUNTIFS('Invoice &amp; Delivery Log'!$Y$8:$Y$157,"Yes",'Invoice &amp; Delivery Log'!$M$8:$M$157,"&lt;"&amp;$M96)+COUNTIFS('Invoice &amp; Delivery Log'!$Y$8:$Y$157,"Yes",'Invoice &amp; Delivery Log'!$M$8:$M$157,$M96,'Invoice &amp; Delivery Log'!$A$8:$A$157,"&lt;"&amp;$A96)+1)</f>
        <v/>
      </c>
    </row>
    <row r="97" customFormat="false" ht="15" hidden="false" customHeight="true" outlineLevel="0" collapsed="false">
      <c r="A97" s="44"/>
      <c r="B97" s="44"/>
      <c r="C97" s="59" t="str">
        <f aca="false">IF($B97="","",IFERROR(INDEX('Vendor Master'!$B$8:$B$47,MATCH($B97,'Vendor Master'!$A$8:$A$47,0)),"NOT FOUND"))</f>
        <v/>
      </c>
      <c r="D97" s="44"/>
      <c r="E97" s="45"/>
      <c r="F97" s="59" t="str">
        <f aca="false">IF($B97="","",IFERROR(INDEX('Vendor Master'!$C$8:$C$47,MATCH($B97,'Vendor Master'!$A$8:$A$47,0)),""))</f>
        <v/>
      </c>
      <c r="G97" s="45"/>
      <c r="H97" s="56"/>
      <c r="I97" s="56"/>
      <c r="J97" s="56"/>
      <c r="K97" s="44"/>
      <c r="L97" s="60" t="str">
        <f aca="false">IF($B97="","",IFERROR(INDEX('Vendor Master'!$G$8:$G$47,MATCH($B97,'Vendor Master'!$A$8:$A$47,0)),""))</f>
        <v/>
      </c>
      <c r="M97" s="61" t="str">
        <f aca="false">IF(OR($H97="",$L97=""),"",$H97+$L97)</f>
        <v/>
      </c>
      <c r="N97" s="58"/>
      <c r="O97" s="50" t="str">
        <f aca="false">IF($A97="","",SUMIFS('Payments Log'!$F$8:$F$207,'Payments Log'!$B$8:$B$207,$A97))</f>
        <v/>
      </c>
      <c r="P97" s="50" t="str">
        <f aca="false">IF($A97="","",ROUND($N97-$O97,2))</f>
        <v/>
      </c>
      <c r="Q97" s="53" t="str">
        <f aca="false">IF($A97="","",IF(N($N97)&lt;=0,"Check Amount",IF(ROUND($O97,2)&lt;=0,"Unpaid",IF(ROUND($O97-$N97,2)&gt;0,"Overpaid",IF(ROUND($P97,2)&lt;=0,"Paid","Partially Paid")))))</f>
        <v/>
      </c>
      <c r="R97" s="52" t="str">
        <f aca="false">IF(OR($A97="",$M97=""),"",IF(ROUND($P97,2)&lt;=0,0,MAX(0,Settings!$C$5-$M97-Settings!$C$7)))</f>
        <v/>
      </c>
      <c r="S97" s="50" t="str">
        <f aca="false">IF($A97="","",IF(N($R97)&gt;0,MAX($P97,0),0))</f>
        <v/>
      </c>
      <c r="T97" s="53" t="str">
        <f aca="false">IF($A97="","",IF(ROUND($P97,2)&lt;0,"Supplier Credit",IF(ROUND($P97,2)=0,"Closed",IF($M97="","No Due Date",IF(N($R97)&lt;=0,"Not Due Yet",IF(N($R97)&lt;=Settings!$C$8,"1-30 Days Overdue",IF(N($R97)&lt;=Settings!$C$9,"31-60 Days Overdue",IF(N($R97)&lt;=Settings!$C$10,"61-90 Days Overdue","90+ Days Overdue"))))))))</f>
        <v/>
      </c>
      <c r="U97" s="61" t="str">
        <f aca="false">IF($A97="","",IF(COUNTIFS('Payments Log'!$B$8:$B$207,$A97)=0,"",SUMPRODUCT(MAX(('Payments Log'!$B$8:$B$207=$A97)*'Payments Log'!$E$8:$E$207))))</f>
        <v/>
      </c>
      <c r="V97" s="53" t="str">
        <f aca="false">IF($A97="","",IF($J97="","Not Delivered",IF($I97="","No Target Date",IF($J97&lt;=$I97,"On Time","Late"))))</f>
        <v/>
      </c>
      <c r="W97" s="53" t="str">
        <f aca="false">IF($A97="","",IF($X97="","OK","REVIEW"))</f>
        <v/>
      </c>
      <c r="X97" s="62" t="str">
        <f aca="false">IF($A97="","",TRIM(IF($B97="","Missing vendor ID. ","")&amp;IF($C97="NOT FOUND","Vendor ID not in Vendor Master. ","")&amp;IF(COUNTIFS('Invoice &amp; Delivery Log'!$A$8:$A$157,$A97)&gt;1,"Duplicate invoice ID. ","")&amp;IF(AND($D97&lt;&gt;"",COUNTIFS('Invoice &amp; Delivery Log'!$D$8:$D$157,$D97,'Invoice &amp; Delivery Log'!$B$8:$B$157,$B97)&gt;1),"Duplicate supplier invoice number. ","")&amp;IF($E97="","Missing PO number. ","")&amp;IF($H97="","Missing invoice date. ","")&amp;IF(N($N97)&lt;=0,"Invoice amount must be greater than zero. ","")&amp;IF(AND($H97&lt;&gt;"",$H97&gt;Settings!$C$5),"Invoice date is in the future. ","")&amp;IF(AND($K97="Received in Full",$J97=""),"Missing actual delivery date. ","")&amp;IF(ROUND(N($O97)-N($N97),2)&gt;0,"Payments exceed the invoice amount. ","")&amp;IF(AND($K97="Rejected",N($O97)&gt;0),"Payment made on a rejected delivery. ","")&amp;IF(AND($B97&lt;&gt;"",IFERROR(INDEX('Vendor Master'!$H$8:$H$47,MATCH($B97,'Vendor Master'!$A$8:$A$47,0)),"")="Inactive",ROUND(N($P97),2)&gt;0),"Open balance with an inactive vendor. ","")))</f>
        <v/>
      </c>
      <c r="Y97" s="53" t="str">
        <f aca="false">IF($A97="","",IF(ROUND($P97,2)&gt;0.004,"Yes","No"))</f>
        <v/>
      </c>
      <c r="Z97" s="49" t="str">
        <f aca="false">IF(OR($Y97&lt;&gt;"Yes",$M97=""),"",COUNTIFS('Invoice &amp; Delivery Log'!$Y$8:$Y$157,"Yes",'Invoice &amp; Delivery Log'!$M$8:$M$157,"&lt;"&amp;$M97)+COUNTIFS('Invoice &amp; Delivery Log'!$Y$8:$Y$157,"Yes",'Invoice &amp; Delivery Log'!$M$8:$M$157,$M97,'Invoice &amp; Delivery Log'!$A$8:$A$157,"&lt;"&amp;$A97)+1)</f>
        <v/>
      </c>
    </row>
    <row r="98" customFormat="false" ht="15" hidden="false" customHeight="true" outlineLevel="0" collapsed="false">
      <c r="A98" s="44"/>
      <c r="B98" s="44"/>
      <c r="C98" s="55" t="str">
        <f aca="false">IF($B98="","",IFERROR(INDEX('Vendor Master'!$B$8:$B$47,MATCH($B98,'Vendor Master'!$A$8:$A$47,0)),"NOT FOUND"))</f>
        <v/>
      </c>
      <c r="D98" s="44"/>
      <c r="E98" s="45"/>
      <c r="F98" s="55" t="str">
        <f aca="false">IF($B98="","",IFERROR(INDEX('Vendor Master'!$C$8:$C$47,MATCH($B98,'Vendor Master'!$A$8:$A$47,0)),""))</f>
        <v/>
      </c>
      <c r="G98" s="45"/>
      <c r="H98" s="56"/>
      <c r="I98" s="56"/>
      <c r="J98" s="56"/>
      <c r="K98" s="44"/>
      <c r="L98" s="57" t="str">
        <f aca="false">IF($B98="","",IFERROR(INDEX('Vendor Master'!$G$8:$G$47,MATCH($B98,'Vendor Master'!$A$8:$A$47,0)),""))</f>
        <v/>
      </c>
      <c r="M98" s="37" t="str">
        <f aca="false">IF(OR($H98="",$L98=""),"",$H98+$L98)</f>
        <v/>
      </c>
      <c r="N98" s="58"/>
      <c r="O98" s="30" t="str">
        <f aca="false">IF($A98="","",SUMIFS('Payments Log'!$F$8:$F$207,'Payments Log'!$B$8:$B$207,$A98))</f>
        <v/>
      </c>
      <c r="P98" s="30" t="str">
        <f aca="false">IF($A98="","",ROUND($N98-$O98,2))</f>
        <v/>
      </c>
      <c r="Q98" s="36" t="str">
        <f aca="false">IF($A98="","",IF(N($N98)&lt;=0,"Check Amount",IF(ROUND($O98,2)&lt;=0,"Unpaid",IF(ROUND($O98-$N98,2)&gt;0,"Overpaid",IF(ROUND($P98,2)&lt;=0,"Paid","Partially Paid")))))</f>
        <v/>
      </c>
      <c r="R98" s="47" t="str">
        <f aca="false">IF(OR($A98="",$M98=""),"",IF(ROUND($P98,2)&lt;=0,0,MAX(0,Settings!$C$5-$M98-Settings!$C$7)))</f>
        <v/>
      </c>
      <c r="S98" s="30" t="str">
        <f aca="false">IF($A98="","",IF(N($R98)&gt;0,MAX($P98,0),0))</f>
        <v/>
      </c>
      <c r="T98" s="36" t="str">
        <f aca="false">IF($A98="","",IF(ROUND($P98,2)&lt;0,"Supplier Credit",IF(ROUND($P98,2)=0,"Closed",IF($M98="","No Due Date",IF(N($R98)&lt;=0,"Not Due Yet",IF(N($R98)&lt;=Settings!$C$8,"1-30 Days Overdue",IF(N($R98)&lt;=Settings!$C$9,"31-60 Days Overdue",IF(N($R98)&lt;=Settings!$C$10,"61-90 Days Overdue","90+ Days Overdue"))))))))</f>
        <v/>
      </c>
      <c r="U98" s="37" t="str">
        <f aca="false">IF($A98="","",IF(COUNTIFS('Payments Log'!$B$8:$B$207,$A98)=0,"",SUMPRODUCT(MAX(('Payments Log'!$B$8:$B$207=$A98)*'Payments Log'!$E$8:$E$207))))</f>
        <v/>
      </c>
      <c r="V98" s="36" t="str">
        <f aca="false">IF($A98="","",IF($J98="","Not Delivered",IF($I98="","No Target Date",IF($J98&lt;=$I98,"On Time","Late"))))</f>
        <v/>
      </c>
      <c r="W98" s="36" t="str">
        <f aca="false">IF($A98="","",IF($X98="","OK","REVIEW"))</f>
        <v/>
      </c>
      <c r="X98" s="28" t="str">
        <f aca="false">IF($A98="","",TRIM(IF($B98="","Missing vendor ID. ","")&amp;IF($C98="NOT FOUND","Vendor ID not in Vendor Master. ","")&amp;IF(COUNTIFS('Invoice &amp; Delivery Log'!$A$8:$A$157,$A98)&gt;1,"Duplicate invoice ID. ","")&amp;IF(AND($D98&lt;&gt;"",COUNTIFS('Invoice &amp; Delivery Log'!$D$8:$D$157,$D98,'Invoice &amp; Delivery Log'!$B$8:$B$157,$B98)&gt;1),"Duplicate supplier invoice number. ","")&amp;IF($E98="","Missing PO number. ","")&amp;IF($H98="","Missing invoice date. ","")&amp;IF(N($N98)&lt;=0,"Invoice amount must be greater than zero. ","")&amp;IF(AND($H98&lt;&gt;"",$H98&gt;Settings!$C$5),"Invoice date is in the future. ","")&amp;IF(AND($K98="Received in Full",$J98=""),"Missing actual delivery date. ","")&amp;IF(ROUND(N($O98)-N($N98),2)&gt;0,"Payments exceed the invoice amount. ","")&amp;IF(AND($K98="Rejected",N($O98)&gt;0),"Payment made on a rejected delivery. ","")&amp;IF(AND($B98&lt;&gt;"",IFERROR(INDEX('Vendor Master'!$H$8:$H$47,MATCH($B98,'Vendor Master'!$A$8:$A$47,0)),"")="Inactive",ROUND(N($P98),2)&gt;0),"Open balance with an inactive vendor. ","")))</f>
        <v/>
      </c>
      <c r="Y98" s="36" t="str">
        <f aca="false">IF($A98="","",IF(ROUND($P98,2)&gt;0.004,"Yes","No"))</f>
        <v/>
      </c>
      <c r="Z98" s="29" t="str">
        <f aca="false">IF(OR($Y98&lt;&gt;"Yes",$M98=""),"",COUNTIFS('Invoice &amp; Delivery Log'!$Y$8:$Y$157,"Yes",'Invoice &amp; Delivery Log'!$M$8:$M$157,"&lt;"&amp;$M98)+COUNTIFS('Invoice &amp; Delivery Log'!$Y$8:$Y$157,"Yes",'Invoice &amp; Delivery Log'!$M$8:$M$157,$M98,'Invoice &amp; Delivery Log'!$A$8:$A$157,"&lt;"&amp;$A98)+1)</f>
        <v/>
      </c>
    </row>
    <row r="99" customFormat="false" ht="15" hidden="false" customHeight="true" outlineLevel="0" collapsed="false">
      <c r="A99" s="44"/>
      <c r="B99" s="44"/>
      <c r="C99" s="59" t="str">
        <f aca="false">IF($B99="","",IFERROR(INDEX('Vendor Master'!$B$8:$B$47,MATCH($B99,'Vendor Master'!$A$8:$A$47,0)),"NOT FOUND"))</f>
        <v/>
      </c>
      <c r="D99" s="44"/>
      <c r="E99" s="45"/>
      <c r="F99" s="59" t="str">
        <f aca="false">IF($B99="","",IFERROR(INDEX('Vendor Master'!$C$8:$C$47,MATCH($B99,'Vendor Master'!$A$8:$A$47,0)),""))</f>
        <v/>
      </c>
      <c r="G99" s="45"/>
      <c r="H99" s="56"/>
      <c r="I99" s="56"/>
      <c r="J99" s="56"/>
      <c r="K99" s="44"/>
      <c r="L99" s="60" t="str">
        <f aca="false">IF($B99="","",IFERROR(INDEX('Vendor Master'!$G$8:$G$47,MATCH($B99,'Vendor Master'!$A$8:$A$47,0)),""))</f>
        <v/>
      </c>
      <c r="M99" s="61" t="str">
        <f aca="false">IF(OR($H99="",$L99=""),"",$H99+$L99)</f>
        <v/>
      </c>
      <c r="N99" s="58"/>
      <c r="O99" s="50" t="str">
        <f aca="false">IF($A99="","",SUMIFS('Payments Log'!$F$8:$F$207,'Payments Log'!$B$8:$B$207,$A99))</f>
        <v/>
      </c>
      <c r="P99" s="50" t="str">
        <f aca="false">IF($A99="","",ROUND($N99-$O99,2))</f>
        <v/>
      </c>
      <c r="Q99" s="53" t="str">
        <f aca="false">IF($A99="","",IF(N($N99)&lt;=0,"Check Amount",IF(ROUND($O99,2)&lt;=0,"Unpaid",IF(ROUND($O99-$N99,2)&gt;0,"Overpaid",IF(ROUND($P99,2)&lt;=0,"Paid","Partially Paid")))))</f>
        <v/>
      </c>
      <c r="R99" s="52" t="str">
        <f aca="false">IF(OR($A99="",$M99=""),"",IF(ROUND($P99,2)&lt;=0,0,MAX(0,Settings!$C$5-$M99-Settings!$C$7)))</f>
        <v/>
      </c>
      <c r="S99" s="50" t="str">
        <f aca="false">IF($A99="","",IF(N($R99)&gt;0,MAX($P99,0),0))</f>
        <v/>
      </c>
      <c r="T99" s="53" t="str">
        <f aca="false">IF($A99="","",IF(ROUND($P99,2)&lt;0,"Supplier Credit",IF(ROUND($P99,2)=0,"Closed",IF($M99="","No Due Date",IF(N($R99)&lt;=0,"Not Due Yet",IF(N($R99)&lt;=Settings!$C$8,"1-30 Days Overdue",IF(N($R99)&lt;=Settings!$C$9,"31-60 Days Overdue",IF(N($R99)&lt;=Settings!$C$10,"61-90 Days Overdue","90+ Days Overdue"))))))))</f>
        <v/>
      </c>
      <c r="U99" s="61" t="str">
        <f aca="false">IF($A99="","",IF(COUNTIFS('Payments Log'!$B$8:$B$207,$A99)=0,"",SUMPRODUCT(MAX(('Payments Log'!$B$8:$B$207=$A99)*'Payments Log'!$E$8:$E$207))))</f>
        <v/>
      </c>
      <c r="V99" s="53" t="str">
        <f aca="false">IF($A99="","",IF($J99="","Not Delivered",IF($I99="","No Target Date",IF($J99&lt;=$I99,"On Time","Late"))))</f>
        <v/>
      </c>
      <c r="W99" s="53" t="str">
        <f aca="false">IF($A99="","",IF($X99="","OK","REVIEW"))</f>
        <v/>
      </c>
      <c r="X99" s="62" t="str">
        <f aca="false">IF($A99="","",TRIM(IF($B99="","Missing vendor ID. ","")&amp;IF($C99="NOT FOUND","Vendor ID not in Vendor Master. ","")&amp;IF(COUNTIFS('Invoice &amp; Delivery Log'!$A$8:$A$157,$A99)&gt;1,"Duplicate invoice ID. ","")&amp;IF(AND($D99&lt;&gt;"",COUNTIFS('Invoice &amp; Delivery Log'!$D$8:$D$157,$D99,'Invoice &amp; Delivery Log'!$B$8:$B$157,$B99)&gt;1),"Duplicate supplier invoice number. ","")&amp;IF($E99="","Missing PO number. ","")&amp;IF($H99="","Missing invoice date. ","")&amp;IF(N($N99)&lt;=0,"Invoice amount must be greater than zero. ","")&amp;IF(AND($H99&lt;&gt;"",$H99&gt;Settings!$C$5),"Invoice date is in the future. ","")&amp;IF(AND($K99="Received in Full",$J99=""),"Missing actual delivery date. ","")&amp;IF(ROUND(N($O99)-N($N99),2)&gt;0,"Payments exceed the invoice amount. ","")&amp;IF(AND($K99="Rejected",N($O99)&gt;0),"Payment made on a rejected delivery. ","")&amp;IF(AND($B99&lt;&gt;"",IFERROR(INDEX('Vendor Master'!$H$8:$H$47,MATCH($B99,'Vendor Master'!$A$8:$A$47,0)),"")="Inactive",ROUND(N($P99),2)&gt;0),"Open balance with an inactive vendor. ","")))</f>
        <v/>
      </c>
      <c r="Y99" s="53" t="str">
        <f aca="false">IF($A99="","",IF(ROUND($P99,2)&gt;0.004,"Yes","No"))</f>
        <v/>
      </c>
      <c r="Z99" s="49" t="str">
        <f aca="false">IF(OR($Y99&lt;&gt;"Yes",$M99=""),"",COUNTIFS('Invoice &amp; Delivery Log'!$Y$8:$Y$157,"Yes",'Invoice &amp; Delivery Log'!$M$8:$M$157,"&lt;"&amp;$M99)+COUNTIFS('Invoice &amp; Delivery Log'!$Y$8:$Y$157,"Yes",'Invoice &amp; Delivery Log'!$M$8:$M$157,$M99,'Invoice &amp; Delivery Log'!$A$8:$A$157,"&lt;"&amp;$A99)+1)</f>
        <v/>
      </c>
    </row>
    <row r="100" customFormat="false" ht="15" hidden="false" customHeight="true" outlineLevel="0" collapsed="false">
      <c r="A100" s="44"/>
      <c r="B100" s="44"/>
      <c r="C100" s="55" t="str">
        <f aca="false">IF($B100="","",IFERROR(INDEX('Vendor Master'!$B$8:$B$47,MATCH($B100,'Vendor Master'!$A$8:$A$47,0)),"NOT FOUND"))</f>
        <v/>
      </c>
      <c r="D100" s="44"/>
      <c r="E100" s="45"/>
      <c r="F100" s="55" t="str">
        <f aca="false">IF($B100="","",IFERROR(INDEX('Vendor Master'!$C$8:$C$47,MATCH($B100,'Vendor Master'!$A$8:$A$47,0)),""))</f>
        <v/>
      </c>
      <c r="G100" s="45"/>
      <c r="H100" s="56"/>
      <c r="I100" s="56"/>
      <c r="J100" s="56"/>
      <c r="K100" s="44"/>
      <c r="L100" s="57" t="str">
        <f aca="false">IF($B100="","",IFERROR(INDEX('Vendor Master'!$G$8:$G$47,MATCH($B100,'Vendor Master'!$A$8:$A$47,0)),""))</f>
        <v/>
      </c>
      <c r="M100" s="37" t="str">
        <f aca="false">IF(OR($H100="",$L100=""),"",$H100+$L100)</f>
        <v/>
      </c>
      <c r="N100" s="58"/>
      <c r="O100" s="30" t="str">
        <f aca="false">IF($A100="","",SUMIFS('Payments Log'!$F$8:$F$207,'Payments Log'!$B$8:$B$207,$A100))</f>
        <v/>
      </c>
      <c r="P100" s="30" t="str">
        <f aca="false">IF($A100="","",ROUND($N100-$O100,2))</f>
        <v/>
      </c>
      <c r="Q100" s="36" t="str">
        <f aca="false">IF($A100="","",IF(N($N100)&lt;=0,"Check Amount",IF(ROUND($O100,2)&lt;=0,"Unpaid",IF(ROUND($O100-$N100,2)&gt;0,"Overpaid",IF(ROUND($P100,2)&lt;=0,"Paid","Partially Paid")))))</f>
        <v/>
      </c>
      <c r="R100" s="47" t="str">
        <f aca="false">IF(OR($A100="",$M100=""),"",IF(ROUND($P100,2)&lt;=0,0,MAX(0,Settings!$C$5-$M100-Settings!$C$7)))</f>
        <v/>
      </c>
      <c r="S100" s="30" t="str">
        <f aca="false">IF($A100="","",IF(N($R100)&gt;0,MAX($P100,0),0))</f>
        <v/>
      </c>
      <c r="T100" s="36" t="str">
        <f aca="false">IF($A100="","",IF(ROUND($P100,2)&lt;0,"Supplier Credit",IF(ROUND($P100,2)=0,"Closed",IF($M100="","No Due Date",IF(N($R100)&lt;=0,"Not Due Yet",IF(N($R100)&lt;=Settings!$C$8,"1-30 Days Overdue",IF(N($R100)&lt;=Settings!$C$9,"31-60 Days Overdue",IF(N($R100)&lt;=Settings!$C$10,"61-90 Days Overdue","90+ Days Overdue"))))))))</f>
        <v/>
      </c>
      <c r="U100" s="37" t="str">
        <f aca="false">IF($A100="","",IF(COUNTIFS('Payments Log'!$B$8:$B$207,$A100)=0,"",SUMPRODUCT(MAX(('Payments Log'!$B$8:$B$207=$A100)*'Payments Log'!$E$8:$E$207))))</f>
        <v/>
      </c>
      <c r="V100" s="36" t="str">
        <f aca="false">IF($A100="","",IF($J100="","Not Delivered",IF($I100="","No Target Date",IF($J100&lt;=$I100,"On Time","Late"))))</f>
        <v/>
      </c>
      <c r="W100" s="36" t="str">
        <f aca="false">IF($A100="","",IF($X100="","OK","REVIEW"))</f>
        <v/>
      </c>
      <c r="X100" s="28" t="str">
        <f aca="false">IF($A100="","",TRIM(IF($B100="","Missing vendor ID. ","")&amp;IF($C100="NOT FOUND","Vendor ID not in Vendor Master. ","")&amp;IF(COUNTIFS('Invoice &amp; Delivery Log'!$A$8:$A$157,$A100)&gt;1,"Duplicate invoice ID. ","")&amp;IF(AND($D100&lt;&gt;"",COUNTIFS('Invoice &amp; Delivery Log'!$D$8:$D$157,$D100,'Invoice &amp; Delivery Log'!$B$8:$B$157,$B100)&gt;1),"Duplicate supplier invoice number. ","")&amp;IF($E100="","Missing PO number. ","")&amp;IF($H100="","Missing invoice date. ","")&amp;IF(N($N100)&lt;=0,"Invoice amount must be greater than zero. ","")&amp;IF(AND($H100&lt;&gt;"",$H100&gt;Settings!$C$5),"Invoice date is in the future. ","")&amp;IF(AND($K100="Received in Full",$J100=""),"Missing actual delivery date. ","")&amp;IF(ROUND(N($O100)-N($N100),2)&gt;0,"Payments exceed the invoice amount. ","")&amp;IF(AND($K100="Rejected",N($O100)&gt;0),"Payment made on a rejected delivery. ","")&amp;IF(AND($B100&lt;&gt;"",IFERROR(INDEX('Vendor Master'!$H$8:$H$47,MATCH($B100,'Vendor Master'!$A$8:$A$47,0)),"")="Inactive",ROUND(N($P100),2)&gt;0),"Open balance with an inactive vendor. ","")))</f>
        <v/>
      </c>
      <c r="Y100" s="36" t="str">
        <f aca="false">IF($A100="","",IF(ROUND($P100,2)&gt;0.004,"Yes","No"))</f>
        <v/>
      </c>
      <c r="Z100" s="29" t="str">
        <f aca="false">IF(OR($Y100&lt;&gt;"Yes",$M100=""),"",COUNTIFS('Invoice &amp; Delivery Log'!$Y$8:$Y$157,"Yes",'Invoice &amp; Delivery Log'!$M$8:$M$157,"&lt;"&amp;$M100)+COUNTIFS('Invoice &amp; Delivery Log'!$Y$8:$Y$157,"Yes",'Invoice &amp; Delivery Log'!$M$8:$M$157,$M100,'Invoice &amp; Delivery Log'!$A$8:$A$157,"&lt;"&amp;$A100)+1)</f>
        <v/>
      </c>
    </row>
    <row r="101" customFormat="false" ht="15" hidden="false" customHeight="true" outlineLevel="0" collapsed="false">
      <c r="A101" s="44"/>
      <c r="B101" s="44"/>
      <c r="C101" s="59" t="str">
        <f aca="false">IF($B101="","",IFERROR(INDEX('Vendor Master'!$B$8:$B$47,MATCH($B101,'Vendor Master'!$A$8:$A$47,0)),"NOT FOUND"))</f>
        <v/>
      </c>
      <c r="D101" s="44"/>
      <c r="E101" s="45"/>
      <c r="F101" s="59" t="str">
        <f aca="false">IF($B101="","",IFERROR(INDEX('Vendor Master'!$C$8:$C$47,MATCH($B101,'Vendor Master'!$A$8:$A$47,0)),""))</f>
        <v/>
      </c>
      <c r="G101" s="45"/>
      <c r="H101" s="56"/>
      <c r="I101" s="56"/>
      <c r="J101" s="56"/>
      <c r="K101" s="44"/>
      <c r="L101" s="60" t="str">
        <f aca="false">IF($B101="","",IFERROR(INDEX('Vendor Master'!$G$8:$G$47,MATCH($B101,'Vendor Master'!$A$8:$A$47,0)),""))</f>
        <v/>
      </c>
      <c r="M101" s="61" t="str">
        <f aca="false">IF(OR($H101="",$L101=""),"",$H101+$L101)</f>
        <v/>
      </c>
      <c r="N101" s="58"/>
      <c r="O101" s="50" t="str">
        <f aca="false">IF($A101="","",SUMIFS('Payments Log'!$F$8:$F$207,'Payments Log'!$B$8:$B$207,$A101))</f>
        <v/>
      </c>
      <c r="P101" s="50" t="str">
        <f aca="false">IF($A101="","",ROUND($N101-$O101,2))</f>
        <v/>
      </c>
      <c r="Q101" s="53" t="str">
        <f aca="false">IF($A101="","",IF(N($N101)&lt;=0,"Check Amount",IF(ROUND($O101,2)&lt;=0,"Unpaid",IF(ROUND($O101-$N101,2)&gt;0,"Overpaid",IF(ROUND($P101,2)&lt;=0,"Paid","Partially Paid")))))</f>
        <v/>
      </c>
      <c r="R101" s="52" t="str">
        <f aca="false">IF(OR($A101="",$M101=""),"",IF(ROUND($P101,2)&lt;=0,0,MAX(0,Settings!$C$5-$M101-Settings!$C$7)))</f>
        <v/>
      </c>
      <c r="S101" s="50" t="str">
        <f aca="false">IF($A101="","",IF(N($R101)&gt;0,MAX($P101,0),0))</f>
        <v/>
      </c>
      <c r="T101" s="53" t="str">
        <f aca="false">IF($A101="","",IF(ROUND($P101,2)&lt;0,"Supplier Credit",IF(ROUND($P101,2)=0,"Closed",IF($M101="","No Due Date",IF(N($R101)&lt;=0,"Not Due Yet",IF(N($R101)&lt;=Settings!$C$8,"1-30 Days Overdue",IF(N($R101)&lt;=Settings!$C$9,"31-60 Days Overdue",IF(N($R101)&lt;=Settings!$C$10,"61-90 Days Overdue","90+ Days Overdue"))))))))</f>
        <v/>
      </c>
      <c r="U101" s="61" t="str">
        <f aca="false">IF($A101="","",IF(COUNTIFS('Payments Log'!$B$8:$B$207,$A101)=0,"",SUMPRODUCT(MAX(('Payments Log'!$B$8:$B$207=$A101)*'Payments Log'!$E$8:$E$207))))</f>
        <v/>
      </c>
      <c r="V101" s="53" t="str">
        <f aca="false">IF($A101="","",IF($J101="","Not Delivered",IF($I101="","No Target Date",IF($J101&lt;=$I101,"On Time","Late"))))</f>
        <v/>
      </c>
      <c r="W101" s="53" t="str">
        <f aca="false">IF($A101="","",IF($X101="","OK","REVIEW"))</f>
        <v/>
      </c>
      <c r="X101" s="62" t="str">
        <f aca="false">IF($A101="","",TRIM(IF($B101="","Missing vendor ID. ","")&amp;IF($C101="NOT FOUND","Vendor ID not in Vendor Master. ","")&amp;IF(COUNTIFS('Invoice &amp; Delivery Log'!$A$8:$A$157,$A101)&gt;1,"Duplicate invoice ID. ","")&amp;IF(AND($D101&lt;&gt;"",COUNTIFS('Invoice &amp; Delivery Log'!$D$8:$D$157,$D101,'Invoice &amp; Delivery Log'!$B$8:$B$157,$B101)&gt;1),"Duplicate supplier invoice number. ","")&amp;IF($E101="","Missing PO number. ","")&amp;IF($H101="","Missing invoice date. ","")&amp;IF(N($N101)&lt;=0,"Invoice amount must be greater than zero. ","")&amp;IF(AND($H101&lt;&gt;"",$H101&gt;Settings!$C$5),"Invoice date is in the future. ","")&amp;IF(AND($K101="Received in Full",$J101=""),"Missing actual delivery date. ","")&amp;IF(ROUND(N($O101)-N($N101),2)&gt;0,"Payments exceed the invoice amount. ","")&amp;IF(AND($K101="Rejected",N($O101)&gt;0),"Payment made on a rejected delivery. ","")&amp;IF(AND($B101&lt;&gt;"",IFERROR(INDEX('Vendor Master'!$H$8:$H$47,MATCH($B101,'Vendor Master'!$A$8:$A$47,0)),"")="Inactive",ROUND(N($P101),2)&gt;0),"Open balance with an inactive vendor. ","")))</f>
        <v/>
      </c>
      <c r="Y101" s="53" t="str">
        <f aca="false">IF($A101="","",IF(ROUND($P101,2)&gt;0.004,"Yes","No"))</f>
        <v/>
      </c>
      <c r="Z101" s="49" t="str">
        <f aca="false">IF(OR($Y101&lt;&gt;"Yes",$M101=""),"",COUNTIFS('Invoice &amp; Delivery Log'!$Y$8:$Y$157,"Yes",'Invoice &amp; Delivery Log'!$M$8:$M$157,"&lt;"&amp;$M101)+COUNTIFS('Invoice &amp; Delivery Log'!$Y$8:$Y$157,"Yes",'Invoice &amp; Delivery Log'!$M$8:$M$157,$M101,'Invoice &amp; Delivery Log'!$A$8:$A$157,"&lt;"&amp;$A101)+1)</f>
        <v/>
      </c>
    </row>
    <row r="102" customFormat="false" ht="15" hidden="false" customHeight="true" outlineLevel="0" collapsed="false">
      <c r="A102" s="44"/>
      <c r="B102" s="44"/>
      <c r="C102" s="55" t="str">
        <f aca="false">IF($B102="","",IFERROR(INDEX('Vendor Master'!$B$8:$B$47,MATCH($B102,'Vendor Master'!$A$8:$A$47,0)),"NOT FOUND"))</f>
        <v/>
      </c>
      <c r="D102" s="44"/>
      <c r="E102" s="45"/>
      <c r="F102" s="55" t="str">
        <f aca="false">IF($B102="","",IFERROR(INDEX('Vendor Master'!$C$8:$C$47,MATCH($B102,'Vendor Master'!$A$8:$A$47,0)),""))</f>
        <v/>
      </c>
      <c r="G102" s="45"/>
      <c r="H102" s="56"/>
      <c r="I102" s="56"/>
      <c r="J102" s="56"/>
      <c r="K102" s="44"/>
      <c r="L102" s="57" t="str">
        <f aca="false">IF($B102="","",IFERROR(INDEX('Vendor Master'!$G$8:$G$47,MATCH($B102,'Vendor Master'!$A$8:$A$47,0)),""))</f>
        <v/>
      </c>
      <c r="M102" s="37" t="str">
        <f aca="false">IF(OR($H102="",$L102=""),"",$H102+$L102)</f>
        <v/>
      </c>
      <c r="N102" s="58"/>
      <c r="O102" s="30" t="str">
        <f aca="false">IF($A102="","",SUMIFS('Payments Log'!$F$8:$F$207,'Payments Log'!$B$8:$B$207,$A102))</f>
        <v/>
      </c>
      <c r="P102" s="30" t="str">
        <f aca="false">IF($A102="","",ROUND($N102-$O102,2))</f>
        <v/>
      </c>
      <c r="Q102" s="36" t="str">
        <f aca="false">IF($A102="","",IF(N($N102)&lt;=0,"Check Amount",IF(ROUND($O102,2)&lt;=0,"Unpaid",IF(ROUND($O102-$N102,2)&gt;0,"Overpaid",IF(ROUND($P102,2)&lt;=0,"Paid","Partially Paid")))))</f>
        <v/>
      </c>
      <c r="R102" s="47" t="str">
        <f aca="false">IF(OR($A102="",$M102=""),"",IF(ROUND($P102,2)&lt;=0,0,MAX(0,Settings!$C$5-$M102-Settings!$C$7)))</f>
        <v/>
      </c>
      <c r="S102" s="30" t="str">
        <f aca="false">IF($A102="","",IF(N($R102)&gt;0,MAX($P102,0),0))</f>
        <v/>
      </c>
      <c r="T102" s="36" t="str">
        <f aca="false">IF($A102="","",IF(ROUND($P102,2)&lt;0,"Supplier Credit",IF(ROUND($P102,2)=0,"Closed",IF($M102="","No Due Date",IF(N($R102)&lt;=0,"Not Due Yet",IF(N($R102)&lt;=Settings!$C$8,"1-30 Days Overdue",IF(N($R102)&lt;=Settings!$C$9,"31-60 Days Overdue",IF(N($R102)&lt;=Settings!$C$10,"61-90 Days Overdue","90+ Days Overdue"))))))))</f>
        <v/>
      </c>
      <c r="U102" s="37" t="str">
        <f aca="false">IF($A102="","",IF(COUNTIFS('Payments Log'!$B$8:$B$207,$A102)=0,"",SUMPRODUCT(MAX(('Payments Log'!$B$8:$B$207=$A102)*'Payments Log'!$E$8:$E$207))))</f>
        <v/>
      </c>
      <c r="V102" s="36" t="str">
        <f aca="false">IF($A102="","",IF($J102="","Not Delivered",IF($I102="","No Target Date",IF($J102&lt;=$I102,"On Time","Late"))))</f>
        <v/>
      </c>
      <c r="W102" s="36" t="str">
        <f aca="false">IF($A102="","",IF($X102="","OK","REVIEW"))</f>
        <v/>
      </c>
      <c r="X102" s="28" t="str">
        <f aca="false">IF($A102="","",TRIM(IF($B102="","Missing vendor ID. ","")&amp;IF($C102="NOT FOUND","Vendor ID not in Vendor Master. ","")&amp;IF(COUNTIFS('Invoice &amp; Delivery Log'!$A$8:$A$157,$A102)&gt;1,"Duplicate invoice ID. ","")&amp;IF(AND($D102&lt;&gt;"",COUNTIFS('Invoice &amp; Delivery Log'!$D$8:$D$157,$D102,'Invoice &amp; Delivery Log'!$B$8:$B$157,$B102)&gt;1),"Duplicate supplier invoice number. ","")&amp;IF($E102="","Missing PO number. ","")&amp;IF($H102="","Missing invoice date. ","")&amp;IF(N($N102)&lt;=0,"Invoice amount must be greater than zero. ","")&amp;IF(AND($H102&lt;&gt;"",$H102&gt;Settings!$C$5),"Invoice date is in the future. ","")&amp;IF(AND($K102="Received in Full",$J102=""),"Missing actual delivery date. ","")&amp;IF(ROUND(N($O102)-N($N102),2)&gt;0,"Payments exceed the invoice amount. ","")&amp;IF(AND($K102="Rejected",N($O102)&gt;0),"Payment made on a rejected delivery. ","")&amp;IF(AND($B102&lt;&gt;"",IFERROR(INDEX('Vendor Master'!$H$8:$H$47,MATCH($B102,'Vendor Master'!$A$8:$A$47,0)),"")="Inactive",ROUND(N($P102),2)&gt;0),"Open balance with an inactive vendor. ","")))</f>
        <v/>
      </c>
      <c r="Y102" s="36" t="str">
        <f aca="false">IF($A102="","",IF(ROUND($P102,2)&gt;0.004,"Yes","No"))</f>
        <v/>
      </c>
      <c r="Z102" s="29" t="str">
        <f aca="false">IF(OR($Y102&lt;&gt;"Yes",$M102=""),"",COUNTIFS('Invoice &amp; Delivery Log'!$Y$8:$Y$157,"Yes",'Invoice &amp; Delivery Log'!$M$8:$M$157,"&lt;"&amp;$M102)+COUNTIFS('Invoice &amp; Delivery Log'!$Y$8:$Y$157,"Yes",'Invoice &amp; Delivery Log'!$M$8:$M$157,$M102,'Invoice &amp; Delivery Log'!$A$8:$A$157,"&lt;"&amp;$A102)+1)</f>
        <v/>
      </c>
    </row>
    <row r="103" customFormat="false" ht="15" hidden="false" customHeight="true" outlineLevel="0" collapsed="false">
      <c r="A103" s="44"/>
      <c r="B103" s="44"/>
      <c r="C103" s="59" t="str">
        <f aca="false">IF($B103="","",IFERROR(INDEX('Vendor Master'!$B$8:$B$47,MATCH($B103,'Vendor Master'!$A$8:$A$47,0)),"NOT FOUND"))</f>
        <v/>
      </c>
      <c r="D103" s="44"/>
      <c r="E103" s="45"/>
      <c r="F103" s="59" t="str">
        <f aca="false">IF($B103="","",IFERROR(INDEX('Vendor Master'!$C$8:$C$47,MATCH($B103,'Vendor Master'!$A$8:$A$47,0)),""))</f>
        <v/>
      </c>
      <c r="G103" s="45"/>
      <c r="H103" s="56"/>
      <c r="I103" s="56"/>
      <c r="J103" s="56"/>
      <c r="K103" s="44"/>
      <c r="L103" s="60" t="str">
        <f aca="false">IF($B103="","",IFERROR(INDEX('Vendor Master'!$G$8:$G$47,MATCH($B103,'Vendor Master'!$A$8:$A$47,0)),""))</f>
        <v/>
      </c>
      <c r="M103" s="61" t="str">
        <f aca="false">IF(OR($H103="",$L103=""),"",$H103+$L103)</f>
        <v/>
      </c>
      <c r="N103" s="58"/>
      <c r="O103" s="50" t="str">
        <f aca="false">IF($A103="","",SUMIFS('Payments Log'!$F$8:$F$207,'Payments Log'!$B$8:$B$207,$A103))</f>
        <v/>
      </c>
      <c r="P103" s="50" t="str">
        <f aca="false">IF($A103="","",ROUND($N103-$O103,2))</f>
        <v/>
      </c>
      <c r="Q103" s="53" t="str">
        <f aca="false">IF($A103="","",IF(N($N103)&lt;=0,"Check Amount",IF(ROUND($O103,2)&lt;=0,"Unpaid",IF(ROUND($O103-$N103,2)&gt;0,"Overpaid",IF(ROUND($P103,2)&lt;=0,"Paid","Partially Paid")))))</f>
        <v/>
      </c>
      <c r="R103" s="52" t="str">
        <f aca="false">IF(OR($A103="",$M103=""),"",IF(ROUND($P103,2)&lt;=0,0,MAX(0,Settings!$C$5-$M103-Settings!$C$7)))</f>
        <v/>
      </c>
      <c r="S103" s="50" t="str">
        <f aca="false">IF($A103="","",IF(N($R103)&gt;0,MAX($P103,0),0))</f>
        <v/>
      </c>
      <c r="T103" s="53" t="str">
        <f aca="false">IF($A103="","",IF(ROUND($P103,2)&lt;0,"Supplier Credit",IF(ROUND($P103,2)=0,"Closed",IF($M103="","No Due Date",IF(N($R103)&lt;=0,"Not Due Yet",IF(N($R103)&lt;=Settings!$C$8,"1-30 Days Overdue",IF(N($R103)&lt;=Settings!$C$9,"31-60 Days Overdue",IF(N($R103)&lt;=Settings!$C$10,"61-90 Days Overdue","90+ Days Overdue"))))))))</f>
        <v/>
      </c>
      <c r="U103" s="61" t="str">
        <f aca="false">IF($A103="","",IF(COUNTIFS('Payments Log'!$B$8:$B$207,$A103)=0,"",SUMPRODUCT(MAX(('Payments Log'!$B$8:$B$207=$A103)*'Payments Log'!$E$8:$E$207))))</f>
        <v/>
      </c>
      <c r="V103" s="53" t="str">
        <f aca="false">IF($A103="","",IF($J103="","Not Delivered",IF($I103="","No Target Date",IF($J103&lt;=$I103,"On Time","Late"))))</f>
        <v/>
      </c>
      <c r="W103" s="53" t="str">
        <f aca="false">IF($A103="","",IF($X103="","OK","REVIEW"))</f>
        <v/>
      </c>
      <c r="X103" s="62" t="str">
        <f aca="false">IF($A103="","",TRIM(IF($B103="","Missing vendor ID. ","")&amp;IF($C103="NOT FOUND","Vendor ID not in Vendor Master. ","")&amp;IF(COUNTIFS('Invoice &amp; Delivery Log'!$A$8:$A$157,$A103)&gt;1,"Duplicate invoice ID. ","")&amp;IF(AND($D103&lt;&gt;"",COUNTIFS('Invoice &amp; Delivery Log'!$D$8:$D$157,$D103,'Invoice &amp; Delivery Log'!$B$8:$B$157,$B103)&gt;1),"Duplicate supplier invoice number. ","")&amp;IF($E103="","Missing PO number. ","")&amp;IF($H103="","Missing invoice date. ","")&amp;IF(N($N103)&lt;=0,"Invoice amount must be greater than zero. ","")&amp;IF(AND($H103&lt;&gt;"",$H103&gt;Settings!$C$5),"Invoice date is in the future. ","")&amp;IF(AND($K103="Received in Full",$J103=""),"Missing actual delivery date. ","")&amp;IF(ROUND(N($O103)-N($N103),2)&gt;0,"Payments exceed the invoice amount. ","")&amp;IF(AND($K103="Rejected",N($O103)&gt;0),"Payment made on a rejected delivery. ","")&amp;IF(AND($B103&lt;&gt;"",IFERROR(INDEX('Vendor Master'!$H$8:$H$47,MATCH($B103,'Vendor Master'!$A$8:$A$47,0)),"")="Inactive",ROUND(N($P103),2)&gt;0),"Open balance with an inactive vendor. ","")))</f>
        <v/>
      </c>
      <c r="Y103" s="53" t="str">
        <f aca="false">IF($A103="","",IF(ROUND($P103,2)&gt;0.004,"Yes","No"))</f>
        <v/>
      </c>
      <c r="Z103" s="49" t="str">
        <f aca="false">IF(OR($Y103&lt;&gt;"Yes",$M103=""),"",COUNTIFS('Invoice &amp; Delivery Log'!$Y$8:$Y$157,"Yes",'Invoice &amp; Delivery Log'!$M$8:$M$157,"&lt;"&amp;$M103)+COUNTIFS('Invoice &amp; Delivery Log'!$Y$8:$Y$157,"Yes",'Invoice &amp; Delivery Log'!$M$8:$M$157,$M103,'Invoice &amp; Delivery Log'!$A$8:$A$157,"&lt;"&amp;$A103)+1)</f>
        <v/>
      </c>
    </row>
    <row r="104" customFormat="false" ht="15" hidden="false" customHeight="true" outlineLevel="0" collapsed="false">
      <c r="A104" s="44"/>
      <c r="B104" s="44"/>
      <c r="C104" s="55" t="str">
        <f aca="false">IF($B104="","",IFERROR(INDEX('Vendor Master'!$B$8:$B$47,MATCH($B104,'Vendor Master'!$A$8:$A$47,0)),"NOT FOUND"))</f>
        <v/>
      </c>
      <c r="D104" s="44"/>
      <c r="E104" s="45"/>
      <c r="F104" s="55" t="str">
        <f aca="false">IF($B104="","",IFERROR(INDEX('Vendor Master'!$C$8:$C$47,MATCH($B104,'Vendor Master'!$A$8:$A$47,0)),""))</f>
        <v/>
      </c>
      <c r="G104" s="45"/>
      <c r="H104" s="56"/>
      <c r="I104" s="56"/>
      <c r="J104" s="56"/>
      <c r="K104" s="44"/>
      <c r="L104" s="57" t="str">
        <f aca="false">IF($B104="","",IFERROR(INDEX('Vendor Master'!$G$8:$G$47,MATCH($B104,'Vendor Master'!$A$8:$A$47,0)),""))</f>
        <v/>
      </c>
      <c r="M104" s="37" t="str">
        <f aca="false">IF(OR($H104="",$L104=""),"",$H104+$L104)</f>
        <v/>
      </c>
      <c r="N104" s="58"/>
      <c r="O104" s="30" t="str">
        <f aca="false">IF($A104="","",SUMIFS('Payments Log'!$F$8:$F$207,'Payments Log'!$B$8:$B$207,$A104))</f>
        <v/>
      </c>
      <c r="P104" s="30" t="str">
        <f aca="false">IF($A104="","",ROUND($N104-$O104,2))</f>
        <v/>
      </c>
      <c r="Q104" s="36" t="str">
        <f aca="false">IF($A104="","",IF(N($N104)&lt;=0,"Check Amount",IF(ROUND($O104,2)&lt;=0,"Unpaid",IF(ROUND($O104-$N104,2)&gt;0,"Overpaid",IF(ROUND($P104,2)&lt;=0,"Paid","Partially Paid")))))</f>
        <v/>
      </c>
      <c r="R104" s="47" t="str">
        <f aca="false">IF(OR($A104="",$M104=""),"",IF(ROUND($P104,2)&lt;=0,0,MAX(0,Settings!$C$5-$M104-Settings!$C$7)))</f>
        <v/>
      </c>
      <c r="S104" s="30" t="str">
        <f aca="false">IF($A104="","",IF(N($R104)&gt;0,MAX($P104,0),0))</f>
        <v/>
      </c>
      <c r="T104" s="36" t="str">
        <f aca="false">IF($A104="","",IF(ROUND($P104,2)&lt;0,"Supplier Credit",IF(ROUND($P104,2)=0,"Closed",IF($M104="","No Due Date",IF(N($R104)&lt;=0,"Not Due Yet",IF(N($R104)&lt;=Settings!$C$8,"1-30 Days Overdue",IF(N($R104)&lt;=Settings!$C$9,"31-60 Days Overdue",IF(N($R104)&lt;=Settings!$C$10,"61-90 Days Overdue","90+ Days Overdue"))))))))</f>
        <v/>
      </c>
      <c r="U104" s="37" t="str">
        <f aca="false">IF($A104="","",IF(COUNTIFS('Payments Log'!$B$8:$B$207,$A104)=0,"",SUMPRODUCT(MAX(('Payments Log'!$B$8:$B$207=$A104)*'Payments Log'!$E$8:$E$207))))</f>
        <v/>
      </c>
      <c r="V104" s="36" t="str">
        <f aca="false">IF($A104="","",IF($J104="","Not Delivered",IF($I104="","No Target Date",IF($J104&lt;=$I104,"On Time","Late"))))</f>
        <v/>
      </c>
      <c r="W104" s="36" t="str">
        <f aca="false">IF($A104="","",IF($X104="","OK","REVIEW"))</f>
        <v/>
      </c>
      <c r="X104" s="28" t="str">
        <f aca="false">IF($A104="","",TRIM(IF($B104="","Missing vendor ID. ","")&amp;IF($C104="NOT FOUND","Vendor ID not in Vendor Master. ","")&amp;IF(COUNTIFS('Invoice &amp; Delivery Log'!$A$8:$A$157,$A104)&gt;1,"Duplicate invoice ID. ","")&amp;IF(AND($D104&lt;&gt;"",COUNTIFS('Invoice &amp; Delivery Log'!$D$8:$D$157,$D104,'Invoice &amp; Delivery Log'!$B$8:$B$157,$B104)&gt;1),"Duplicate supplier invoice number. ","")&amp;IF($E104="","Missing PO number. ","")&amp;IF($H104="","Missing invoice date. ","")&amp;IF(N($N104)&lt;=0,"Invoice amount must be greater than zero. ","")&amp;IF(AND($H104&lt;&gt;"",$H104&gt;Settings!$C$5),"Invoice date is in the future. ","")&amp;IF(AND($K104="Received in Full",$J104=""),"Missing actual delivery date. ","")&amp;IF(ROUND(N($O104)-N($N104),2)&gt;0,"Payments exceed the invoice amount. ","")&amp;IF(AND($K104="Rejected",N($O104)&gt;0),"Payment made on a rejected delivery. ","")&amp;IF(AND($B104&lt;&gt;"",IFERROR(INDEX('Vendor Master'!$H$8:$H$47,MATCH($B104,'Vendor Master'!$A$8:$A$47,0)),"")="Inactive",ROUND(N($P104),2)&gt;0),"Open balance with an inactive vendor. ","")))</f>
        <v/>
      </c>
      <c r="Y104" s="36" t="str">
        <f aca="false">IF($A104="","",IF(ROUND($P104,2)&gt;0.004,"Yes","No"))</f>
        <v/>
      </c>
      <c r="Z104" s="29" t="str">
        <f aca="false">IF(OR($Y104&lt;&gt;"Yes",$M104=""),"",COUNTIFS('Invoice &amp; Delivery Log'!$Y$8:$Y$157,"Yes",'Invoice &amp; Delivery Log'!$M$8:$M$157,"&lt;"&amp;$M104)+COUNTIFS('Invoice &amp; Delivery Log'!$Y$8:$Y$157,"Yes",'Invoice &amp; Delivery Log'!$M$8:$M$157,$M104,'Invoice &amp; Delivery Log'!$A$8:$A$157,"&lt;"&amp;$A104)+1)</f>
        <v/>
      </c>
    </row>
    <row r="105" customFormat="false" ht="15" hidden="false" customHeight="true" outlineLevel="0" collapsed="false">
      <c r="A105" s="44"/>
      <c r="B105" s="44"/>
      <c r="C105" s="59" t="str">
        <f aca="false">IF($B105="","",IFERROR(INDEX('Vendor Master'!$B$8:$B$47,MATCH($B105,'Vendor Master'!$A$8:$A$47,0)),"NOT FOUND"))</f>
        <v/>
      </c>
      <c r="D105" s="44"/>
      <c r="E105" s="45"/>
      <c r="F105" s="59" t="str">
        <f aca="false">IF($B105="","",IFERROR(INDEX('Vendor Master'!$C$8:$C$47,MATCH($B105,'Vendor Master'!$A$8:$A$47,0)),""))</f>
        <v/>
      </c>
      <c r="G105" s="45"/>
      <c r="H105" s="56"/>
      <c r="I105" s="56"/>
      <c r="J105" s="56"/>
      <c r="K105" s="44"/>
      <c r="L105" s="60" t="str">
        <f aca="false">IF($B105="","",IFERROR(INDEX('Vendor Master'!$G$8:$G$47,MATCH($B105,'Vendor Master'!$A$8:$A$47,0)),""))</f>
        <v/>
      </c>
      <c r="M105" s="61" t="str">
        <f aca="false">IF(OR($H105="",$L105=""),"",$H105+$L105)</f>
        <v/>
      </c>
      <c r="N105" s="58"/>
      <c r="O105" s="50" t="str">
        <f aca="false">IF($A105="","",SUMIFS('Payments Log'!$F$8:$F$207,'Payments Log'!$B$8:$B$207,$A105))</f>
        <v/>
      </c>
      <c r="P105" s="50" t="str">
        <f aca="false">IF($A105="","",ROUND($N105-$O105,2))</f>
        <v/>
      </c>
      <c r="Q105" s="53" t="str">
        <f aca="false">IF($A105="","",IF(N($N105)&lt;=0,"Check Amount",IF(ROUND($O105,2)&lt;=0,"Unpaid",IF(ROUND($O105-$N105,2)&gt;0,"Overpaid",IF(ROUND($P105,2)&lt;=0,"Paid","Partially Paid")))))</f>
        <v/>
      </c>
      <c r="R105" s="52" t="str">
        <f aca="false">IF(OR($A105="",$M105=""),"",IF(ROUND($P105,2)&lt;=0,0,MAX(0,Settings!$C$5-$M105-Settings!$C$7)))</f>
        <v/>
      </c>
      <c r="S105" s="50" t="str">
        <f aca="false">IF($A105="","",IF(N($R105)&gt;0,MAX($P105,0),0))</f>
        <v/>
      </c>
      <c r="T105" s="53" t="str">
        <f aca="false">IF($A105="","",IF(ROUND($P105,2)&lt;0,"Supplier Credit",IF(ROUND($P105,2)=0,"Closed",IF($M105="","No Due Date",IF(N($R105)&lt;=0,"Not Due Yet",IF(N($R105)&lt;=Settings!$C$8,"1-30 Days Overdue",IF(N($R105)&lt;=Settings!$C$9,"31-60 Days Overdue",IF(N($R105)&lt;=Settings!$C$10,"61-90 Days Overdue","90+ Days Overdue"))))))))</f>
        <v/>
      </c>
      <c r="U105" s="61" t="str">
        <f aca="false">IF($A105="","",IF(COUNTIFS('Payments Log'!$B$8:$B$207,$A105)=0,"",SUMPRODUCT(MAX(('Payments Log'!$B$8:$B$207=$A105)*'Payments Log'!$E$8:$E$207))))</f>
        <v/>
      </c>
      <c r="V105" s="53" t="str">
        <f aca="false">IF($A105="","",IF($J105="","Not Delivered",IF($I105="","No Target Date",IF($J105&lt;=$I105,"On Time","Late"))))</f>
        <v/>
      </c>
      <c r="W105" s="53" t="str">
        <f aca="false">IF($A105="","",IF($X105="","OK","REVIEW"))</f>
        <v/>
      </c>
      <c r="X105" s="62" t="str">
        <f aca="false">IF($A105="","",TRIM(IF($B105="","Missing vendor ID. ","")&amp;IF($C105="NOT FOUND","Vendor ID not in Vendor Master. ","")&amp;IF(COUNTIFS('Invoice &amp; Delivery Log'!$A$8:$A$157,$A105)&gt;1,"Duplicate invoice ID. ","")&amp;IF(AND($D105&lt;&gt;"",COUNTIFS('Invoice &amp; Delivery Log'!$D$8:$D$157,$D105,'Invoice &amp; Delivery Log'!$B$8:$B$157,$B105)&gt;1),"Duplicate supplier invoice number. ","")&amp;IF($E105="","Missing PO number. ","")&amp;IF($H105="","Missing invoice date. ","")&amp;IF(N($N105)&lt;=0,"Invoice amount must be greater than zero. ","")&amp;IF(AND($H105&lt;&gt;"",$H105&gt;Settings!$C$5),"Invoice date is in the future. ","")&amp;IF(AND($K105="Received in Full",$J105=""),"Missing actual delivery date. ","")&amp;IF(ROUND(N($O105)-N($N105),2)&gt;0,"Payments exceed the invoice amount. ","")&amp;IF(AND($K105="Rejected",N($O105)&gt;0),"Payment made on a rejected delivery. ","")&amp;IF(AND($B105&lt;&gt;"",IFERROR(INDEX('Vendor Master'!$H$8:$H$47,MATCH($B105,'Vendor Master'!$A$8:$A$47,0)),"")="Inactive",ROUND(N($P105),2)&gt;0),"Open balance with an inactive vendor. ","")))</f>
        <v/>
      </c>
      <c r="Y105" s="53" t="str">
        <f aca="false">IF($A105="","",IF(ROUND($P105,2)&gt;0.004,"Yes","No"))</f>
        <v/>
      </c>
      <c r="Z105" s="49" t="str">
        <f aca="false">IF(OR($Y105&lt;&gt;"Yes",$M105=""),"",COUNTIFS('Invoice &amp; Delivery Log'!$Y$8:$Y$157,"Yes",'Invoice &amp; Delivery Log'!$M$8:$M$157,"&lt;"&amp;$M105)+COUNTIFS('Invoice &amp; Delivery Log'!$Y$8:$Y$157,"Yes",'Invoice &amp; Delivery Log'!$M$8:$M$157,$M105,'Invoice &amp; Delivery Log'!$A$8:$A$157,"&lt;"&amp;$A105)+1)</f>
        <v/>
      </c>
    </row>
    <row r="106" customFormat="false" ht="15" hidden="false" customHeight="true" outlineLevel="0" collapsed="false">
      <c r="A106" s="44"/>
      <c r="B106" s="44"/>
      <c r="C106" s="55" t="str">
        <f aca="false">IF($B106="","",IFERROR(INDEX('Vendor Master'!$B$8:$B$47,MATCH($B106,'Vendor Master'!$A$8:$A$47,0)),"NOT FOUND"))</f>
        <v/>
      </c>
      <c r="D106" s="44"/>
      <c r="E106" s="45"/>
      <c r="F106" s="55" t="str">
        <f aca="false">IF($B106="","",IFERROR(INDEX('Vendor Master'!$C$8:$C$47,MATCH($B106,'Vendor Master'!$A$8:$A$47,0)),""))</f>
        <v/>
      </c>
      <c r="G106" s="45"/>
      <c r="H106" s="56"/>
      <c r="I106" s="56"/>
      <c r="J106" s="56"/>
      <c r="K106" s="44"/>
      <c r="L106" s="57" t="str">
        <f aca="false">IF($B106="","",IFERROR(INDEX('Vendor Master'!$G$8:$G$47,MATCH($B106,'Vendor Master'!$A$8:$A$47,0)),""))</f>
        <v/>
      </c>
      <c r="M106" s="37" t="str">
        <f aca="false">IF(OR($H106="",$L106=""),"",$H106+$L106)</f>
        <v/>
      </c>
      <c r="N106" s="58"/>
      <c r="O106" s="30" t="str">
        <f aca="false">IF($A106="","",SUMIFS('Payments Log'!$F$8:$F$207,'Payments Log'!$B$8:$B$207,$A106))</f>
        <v/>
      </c>
      <c r="P106" s="30" t="str">
        <f aca="false">IF($A106="","",ROUND($N106-$O106,2))</f>
        <v/>
      </c>
      <c r="Q106" s="36" t="str">
        <f aca="false">IF($A106="","",IF(N($N106)&lt;=0,"Check Amount",IF(ROUND($O106,2)&lt;=0,"Unpaid",IF(ROUND($O106-$N106,2)&gt;0,"Overpaid",IF(ROUND($P106,2)&lt;=0,"Paid","Partially Paid")))))</f>
        <v/>
      </c>
      <c r="R106" s="47" t="str">
        <f aca="false">IF(OR($A106="",$M106=""),"",IF(ROUND($P106,2)&lt;=0,0,MAX(0,Settings!$C$5-$M106-Settings!$C$7)))</f>
        <v/>
      </c>
      <c r="S106" s="30" t="str">
        <f aca="false">IF($A106="","",IF(N($R106)&gt;0,MAX($P106,0),0))</f>
        <v/>
      </c>
      <c r="T106" s="36" t="str">
        <f aca="false">IF($A106="","",IF(ROUND($P106,2)&lt;0,"Supplier Credit",IF(ROUND($P106,2)=0,"Closed",IF($M106="","No Due Date",IF(N($R106)&lt;=0,"Not Due Yet",IF(N($R106)&lt;=Settings!$C$8,"1-30 Days Overdue",IF(N($R106)&lt;=Settings!$C$9,"31-60 Days Overdue",IF(N($R106)&lt;=Settings!$C$10,"61-90 Days Overdue","90+ Days Overdue"))))))))</f>
        <v/>
      </c>
      <c r="U106" s="37" t="str">
        <f aca="false">IF($A106="","",IF(COUNTIFS('Payments Log'!$B$8:$B$207,$A106)=0,"",SUMPRODUCT(MAX(('Payments Log'!$B$8:$B$207=$A106)*'Payments Log'!$E$8:$E$207))))</f>
        <v/>
      </c>
      <c r="V106" s="36" t="str">
        <f aca="false">IF($A106="","",IF($J106="","Not Delivered",IF($I106="","No Target Date",IF($J106&lt;=$I106,"On Time","Late"))))</f>
        <v/>
      </c>
      <c r="W106" s="36" t="str">
        <f aca="false">IF($A106="","",IF($X106="","OK","REVIEW"))</f>
        <v/>
      </c>
      <c r="X106" s="28" t="str">
        <f aca="false">IF($A106="","",TRIM(IF($B106="","Missing vendor ID. ","")&amp;IF($C106="NOT FOUND","Vendor ID not in Vendor Master. ","")&amp;IF(COUNTIFS('Invoice &amp; Delivery Log'!$A$8:$A$157,$A106)&gt;1,"Duplicate invoice ID. ","")&amp;IF(AND($D106&lt;&gt;"",COUNTIFS('Invoice &amp; Delivery Log'!$D$8:$D$157,$D106,'Invoice &amp; Delivery Log'!$B$8:$B$157,$B106)&gt;1),"Duplicate supplier invoice number. ","")&amp;IF($E106="","Missing PO number. ","")&amp;IF($H106="","Missing invoice date. ","")&amp;IF(N($N106)&lt;=0,"Invoice amount must be greater than zero. ","")&amp;IF(AND($H106&lt;&gt;"",$H106&gt;Settings!$C$5),"Invoice date is in the future. ","")&amp;IF(AND($K106="Received in Full",$J106=""),"Missing actual delivery date. ","")&amp;IF(ROUND(N($O106)-N($N106),2)&gt;0,"Payments exceed the invoice amount. ","")&amp;IF(AND($K106="Rejected",N($O106)&gt;0),"Payment made on a rejected delivery. ","")&amp;IF(AND($B106&lt;&gt;"",IFERROR(INDEX('Vendor Master'!$H$8:$H$47,MATCH($B106,'Vendor Master'!$A$8:$A$47,0)),"")="Inactive",ROUND(N($P106),2)&gt;0),"Open balance with an inactive vendor. ","")))</f>
        <v/>
      </c>
      <c r="Y106" s="36" t="str">
        <f aca="false">IF($A106="","",IF(ROUND($P106,2)&gt;0.004,"Yes","No"))</f>
        <v/>
      </c>
      <c r="Z106" s="29" t="str">
        <f aca="false">IF(OR($Y106&lt;&gt;"Yes",$M106=""),"",COUNTIFS('Invoice &amp; Delivery Log'!$Y$8:$Y$157,"Yes",'Invoice &amp; Delivery Log'!$M$8:$M$157,"&lt;"&amp;$M106)+COUNTIFS('Invoice &amp; Delivery Log'!$Y$8:$Y$157,"Yes",'Invoice &amp; Delivery Log'!$M$8:$M$157,$M106,'Invoice &amp; Delivery Log'!$A$8:$A$157,"&lt;"&amp;$A106)+1)</f>
        <v/>
      </c>
    </row>
    <row r="107" customFormat="false" ht="15" hidden="false" customHeight="true" outlineLevel="0" collapsed="false">
      <c r="A107" s="44"/>
      <c r="B107" s="44"/>
      <c r="C107" s="59" t="str">
        <f aca="false">IF($B107="","",IFERROR(INDEX('Vendor Master'!$B$8:$B$47,MATCH($B107,'Vendor Master'!$A$8:$A$47,0)),"NOT FOUND"))</f>
        <v/>
      </c>
      <c r="D107" s="44"/>
      <c r="E107" s="45"/>
      <c r="F107" s="59" t="str">
        <f aca="false">IF($B107="","",IFERROR(INDEX('Vendor Master'!$C$8:$C$47,MATCH($B107,'Vendor Master'!$A$8:$A$47,0)),""))</f>
        <v/>
      </c>
      <c r="G107" s="45"/>
      <c r="H107" s="56"/>
      <c r="I107" s="56"/>
      <c r="J107" s="56"/>
      <c r="K107" s="44"/>
      <c r="L107" s="60" t="str">
        <f aca="false">IF($B107="","",IFERROR(INDEX('Vendor Master'!$G$8:$G$47,MATCH($B107,'Vendor Master'!$A$8:$A$47,0)),""))</f>
        <v/>
      </c>
      <c r="M107" s="61" t="str">
        <f aca="false">IF(OR($H107="",$L107=""),"",$H107+$L107)</f>
        <v/>
      </c>
      <c r="N107" s="58"/>
      <c r="O107" s="50" t="str">
        <f aca="false">IF($A107="","",SUMIFS('Payments Log'!$F$8:$F$207,'Payments Log'!$B$8:$B$207,$A107))</f>
        <v/>
      </c>
      <c r="P107" s="50" t="str">
        <f aca="false">IF($A107="","",ROUND($N107-$O107,2))</f>
        <v/>
      </c>
      <c r="Q107" s="53" t="str">
        <f aca="false">IF($A107="","",IF(N($N107)&lt;=0,"Check Amount",IF(ROUND($O107,2)&lt;=0,"Unpaid",IF(ROUND($O107-$N107,2)&gt;0,"Overpaid",IF(ROUND($P107,2)&lt;=0,"Paid","Partially Paid")))))</f>
        <v/>
      </c>
      <c r="R107" s="52" t="str">
        <f aca="false">IF(OR($A107="",$M107=""),"",IF(ROUND($P107,2)&lt;=0,0,MAX(0,Settings!$C$5-$M107-Settings!$C$7)))</f>
        <v/>
      </c>
      <c r="S107" s="50" t="str">
        <f aca="false">IF($A107="","",IF(N($R107)&gt;0,MAX($P107,0),0))</f>
        <v/>
      </c>
      <c r="T107" s="53" t="str">
        <f aca="false">IF($A107="","",IF(ROUND($P107,2)&lt;0,"Supplier Credit",IF(ROUND($P107,2)=0,"Closed",IF($M107="","No Due Date",IF(N($R107)&lt;=0,"Not Due Yet",IF(N($R107)&lt;=Settings!$C$8,"1-30 Days Overdue",IF(N($R107)&lt;=Settings!$C$9,"31-60 Days Overdue",IF(N($R107)&lt;=Settings!$C$10,"61-90 Days Overdue","90+ Days Overdue"))))))))</f>
        <v/>
      </c>
      <c r="U107" s="61" t="str">
        <f aca="false">IF($A107="","",IF(COUNTIFS('Payments Log'!$B$8:$B$207,$A107)=0,"",SUMPRODUCT(MAX(('Payments Log'!$B$8:$B$207=$A107)*'Payments Log'!$E$8:$E$207))))</f>
        <v/>
      </c>
      <c r="V107" s="53" t="str">
        <f aca="false">IF($A107="","",IF($J107="","Not Delivered",IF($I107="","No Target Date",IF($J107&lt;=$I107,"On Time","Late"))))</f>
        <v/>
      </c>
      <c r="W107" s="53" t="str">
        <f aca="false">IF($A107="","",IF($X107="","OK","REVIEW"))</f>
        <v/>
      </c>
      <c r="X107" s="62" t="str">
        <f aca="false">IF($A107="","",TRIM(IF($B107="","Missing vendor ID. ","")&amp;IF($C107="NOT FOUND","Vendor ID not in Vendor Master. ","")&amp;IF(COUNTIFS('Invoice &amp; Delivery Log'!$A$8:$A$157,$A107)&gt;1,"Duplicate invoice ID. ","")&amp;IF(AND($D107&lt;&gt;"",COUNTIFS('Invoice &amp; Delivery Log'!$D$8:$D$157,$D107,'Invoice &amp; Delivery Log'!$B$8:$B$157,$B107)&gt;1),"Duplicate supplier invoice number. ","")&amp;IF($E107="","Missing PO number. ","")&amp;IF($H107="","Missing invoice date. ","")&amp;IF(N($N107)&lt;=0,"Invoice amount must be greater than zero. ","")&amp;IF(AND($H107&lt;&gt;"",$H107&gt;Settings!$C$5),"Invoice date is in the future. ","")&amp;IF(AND($K107="Received in Full",$J107=""),"Missing actual delivery date. ","")&amp;IF(ROUND(N($O107)-N($N107),2)&gt;0,"Payments exceed the invoice amount. ","")&amp;IF(AND($K107="Rejected",N($O107)&gt;0),"Payment made on a rejected delivery. ","")&amp;IF(AND($B107&lt;&gt;"",IFERROR(INDEX('Vendor Master'!$H$8:$H$47,MATCH($B107,'Vendor Master'!$A$8:$A$47,0)),"")="Inactive",ROUND(N($P107),2)&gt;0),"Open balance with an inactive vendor. ","")))</f>
        <v/>
      </c>
      <c r="Y107" s="53" t="str">
        <f aca="false">IF($A107="","",IF(ROUND($P107,2)&gt;0.004,"Yes","No"))</f>
        <v/>
      </c>
      <c r="Z107" s="49" t="str">
        <f aca="false">IF(OR($Y107&lt;&gt;"Yes",$M107=""),"",COUNTIFS('Invoice &amp; Delivery Log'!$Y$8:$Y$157,"Yes",'Invoice &amp; Delivery Log'!$M$8:$M$157,"&lt;"&amp;$M107)+COUNTIFS('Invoice &amp; Delivery Log'!$Y$8:$Y$157,"Yes",'Invoice &amp; Delivery Log'!$M$8:$M$157,$M107,'Invoice &amp; Delivery Log'!$A$8:$A$157,"&lt;"&amp;$A107)+1)</f>
        <v/>
      </c>
    </row>
    <row r="108" customFormat="false" ht="15" hidden="false" customHeight="true" outlineLevel="0" collapsed="false">
      <c r="A108" s="44"/>
      <c r="B108" s="44"/>
      <c r="C108" s="55" t="str">
        <f aca="false">IF($B108="","",IFERROR(INDEX('Vendor Master'!$B$8:$B$47,MATCH($B108,'Vendor Master'!$A$8:$A$47,0)),"NOT FOUND"))</f>
        <v/>
      </c>
      <c r="D108" s="44"/>
      <c r="E108" s="45"/>
      <c r="F108" s="55" t="str">
        <f aca="false">IF($B108="","",IFERROR(INDEX('Vendor Master'!$C$8:$C$47,MATCH($B108,'Vendor Master'!$A$8:$A$47,0)),""))</f>
        <v/>
      </c>
      <c r="G108" s="45"/>
      <c r="H108" s="56"/>
      <c r="I108" s="56"/>
      <c r="J108" s="56"/>
      <c r="K108" s="44"/>
      <c r="L108" s="57" t="str">
        <f aca="false">IF($B108="","",IFERROR(INDEX('Vendor Master'!$G$8:$G$47,MATCH($B108,'Vendor Master'!$A$8:$A$47,0)),""))</f>
        <v/>
      </c>
      <c r="M108" s="37" t="str">
        <f aca="false">IF(OR($H108="",$L108=""),"",$H108+$L108)</f>
        <v/>
      </c>
      <c r="N108" s="58"/>
      <c r="O108" s="30" t="str">
        <f aca="false">IF($A108="","",SUMIFS('Payments Log'!$F$8:$F$207,'Payments Log'!$B$8:$B$207,$A108))</f>
        <v/>
      </c>
      <c r="P108" s="30" t="str">
        <f aca="false">IF($A108="","",ROUND($N108-$O108,2))</f>
        <v/>
      </c>
      <c r="Q108" s="36" t="str">
        <f aca="false">IF($A108="","",IF(N($N108)&lt;=0,"Check Amount",IF(ROUND($O108,2)&lt;=0,"Unpaid",IF(ROUND($O108-$N108,2)&gt;0,"Overpaid",IF(ROUND($P108,2)&lt;=0,"Paid","Partially Paid")))))</f>
        <v/>
      </c>
      <c r="R108" s="47" t="str">
        <f aca="false">IF(OR($A108="",$M108=""),"",IF(ROUND($P108,2)&lt;=0,0,MAX(0,Settings!$C$5-$M108-Settings!$C$7)))</f>
        <v/>
      </c>
      <c r="S108" s="30" t="str">
        <f aca="false">IF($A108="","",IF(N($R108)&gt;0,MAX($P108,0),0))</f>
        <v/>
      </c>
      <c r="T108" s="36" t="str">
        <f aca="false">IF($A108="","",IF(ROUND($P108,2)&lt;0,"Supplier Credit",IF(ROUND($P108,2)=0,"Closed",IF($M108="","No Due Date",IF(N($R108)&lt;=0,"Not Due Yet",IF(N($R108)&lt;=Settings!$C$8,"1-30 Days Overdue",IF(N($R108)&lt;=Settings!$C$9,"31-60 Days Overdue",IF(N($R108)&lt;=Settings!$C$10,"61-90 Days Overdue","90+ Days Overdue"))))))))</f>
        <v/>
      </c>
      <c r="U108" s="37" t="str">
        <f aca="false">IF($A108="","",IF(COUNTIFS('Payments Log'!$B$8:$B$207,$A108)=0,"",SUMPRODUCT(MAX(('Payments Log'!$B$8:$B$207=$A108)*'Payments Log'!$E$8:$E$207))))</f>
        <v/>
      </c>
      <c r="V108" s="36" t="str">
        <f aca="false">IF($A108="","",IF($J108="","Not Delivered",IF($I108="","No Target Date",IF($J108&lt;=$I108,"On Time","Late"))))</f>
        <v/>
      </c>
      <c r="W108" s="36" t="str">
        <f aca="false">IF($A108="","",IF($X108="","OK","REVIEW"))</f>
        <v/>
      </c>
      <c r="X108" s="28" t="str">
        <f aca="false">IF($A108="","",TRIM(IF($B108="","Missing vendor ID. ","")&amp;IF($C108="NOT FOUND","Vendor ID not in Vendor Master. ","")&amp;IF(COUNTIFS('Invoice &amp; Delivery Log'!$A$8:$A$157,$A108)&gt;1,"Duplicate invoice ID. ","")&amp;IF(AND($D108&lt;&gt;"",COUNTIFS('Invoice &amp; Delivery Log'!$D$8:$D$157,$D108,'Invoice &amp; Delivery Log'!$B$8:$B$157,$B108)&gt;1),"Duplicate supplier invoice number. ","")&amp;IF($E108="","Missing PO number. ","")&amp;IF($H108="","Missing invoice date. ","")&amp;IF(N($N108)&lt;=0,"Invoice amount must be greater than zero. ","")&amp;IF(AND($H108&lt;&gt;"",$H108&gt;Settings!$C$5),"Invoice date is in the future. ","")&amp;IF(AND($K108="Received in Full",$J108=""),"Missing actual delivery date. ","")&amp;IF(ROUND(N($O108)-N($N108),2)&gt;0,"Payments exceed the invoice amount. ","")&amp;IF(AND($K108="Rejected",N($O108)&gt;0),"Payment made on a rejected delivery. ","")&amp;IF(AND($B108&lt;&gt;"",IFERROR(INDEX('Vendor Master'!$H$8:$H$47,MATCH($B108,'Vendor Master'!$A$8:$A$47,0)),"")="Inactive",ROUND(N($P108),2)&gt;0),"Open balance with an inactive vendor. ","")))</f>
        <v/>
      </c>
      <c r="Y108" s="36" t="str">
        <f aca="false">IF($A108="","",IF(ROUND($P108,2)&gt;0.004,"Yes","No"))</f>
        <v/>
      </c>
      <c r="Z108" s="29" t="str">
        <f aca="false">IF(OR($Y108&lt;&gt;"Yes",$M108=""),"",COUNTIFS('Invoice &amp; Delivery Log'!$Y$8:$Y$157,"Yes",'Invoice &amp; Delivery Log'!$M$8:$M$157,"&lt;"&amp;$M108)+COUNTIFS('Invoice &amp; Delivery Log'!$Y$8:$Y$157,"Yes",'Invoice &amp; Delivery Log'!$M$8:$M$157,$M108,'Invoice &amp; Delivery Log'!$A$8:$A$157,"&lt;"&amp;$A108)+1)</f>
        <v/>
      </c>
    </row>
    <row r="109" customFormat="false" ht="15" hidden="false" customHeight="true" outlineLevel="0" collapsed="false">
      <c r="A109" s="44"/>
      <c r="B109" s="44"/>
      <c r="C109" s="59" t="str">
        <f aca="false">IF($B109="","",IFERROR(INDEX('Vendor Master'!$B$8:$B$47,MATCH($B109,'Vendor Master'!$A$8:$A$47,0)),"NOT FOUND"))</f>
        <v/>
      </c>
      <c r="D109" s="44"/>
      <c r="E109" s="45"/>
      <c r="F109" s="59" t="str">
        <f aca="false">IF($B109="","",IFERROR(INDEX('Vendor Master'!$C$8:$C$47,MATCH($B109,'Vendor Master'!$A$8:$A$47,0)),""))</f>
        <v/>
      </c>
      <c r="G109" s="45"/>
      <c r="H109" s="56"/>
      <c r="I109" s="56"/>
      <c r="J109" s="56"/>
      <c r="K109" s="44"/>
      <c r="L109" s="60" t="str">
        <f aca="false">IF($B109="","",IFERROR(INDEX('Vendor Master'!$G$8:$G$47,MATCH($B109,'Vendor Master'!$A$8:$A$47,0)),""))</f>
        <v/>
      </c>
      <c r="M109" s="61" t="str">
        <f aca="false">IF(OR($H109="",$L109=""),"",$H109+$L109)</f>
        <v/>
      </c>
      <c r="N109" s="58"/>
      <c r="O109" s="50" t="str">
        <f aca="false">IF($A109="","",SUMIFS('Payments Log'!$F$8:$F$207,'Payments Log'!$B$8:$B$207,$A109))</f>
        <v/>
      </c>
      <c r="P109" s="50" t="str">
        <f aca="false">IF($A109="","",ROUND($N109-$O109,2))</f>
        <v/>
      </c>
      <c r="Q109" s="53" t="str">
        <f aca="false">IF($A109="","",IF(N($N109)&lt;=0,"Check Amount",IF(ROUND($O109,2)&lt;=0,"Unpaid",IF(ROUND($O109-$N109,2)&gt;0,"Overpaid",IF(ROUND($P109,2)&lt;=0,"Paid","Partially Paid")))))</f>
        <v/>
      </c>
      <c r="R109" s="52" t="str">
        <f aca="false">IF(OR($A109="",$M109=""),"",IF(ROUND($P109,2)&lt;=0,0,MAX(0,Settings!$C$5-$M109-Settings!$C$7)))</f>
        <v/>
      </c>
      <c r="S109" s="50" t="str">
        <f aca="false">IF($A109="","",IF(N($R109)&gt;0,MAX($P109,0),0))</f>
        <v/>
      </c>
      <c r="T109" s="53" t="str">
        <f aca="false">IF($A109="","",IF(ROUND($P109,2)&lt;0,"Supplier Credit",IF(ROUND($P109,2)=0,"Closed",IF($M109="","No Due Date",IF(N($R109)&lt;=0,"Not Due Yet",IF(N($R109)&lt;=Settings!$C$8,"1-30 Days Overdue",IF(N($R109)&lt;=Settings!$C$9,"31-60 Days Overdue",IF(N($R109)&lt;=Settings!$C$10,"61-90 Days Overdue","90+ Days Overdue"))))))))</f>
        <v/>
      </c>
      <c r="U109" s="61" t="str">
        <f aca="false">IF($A109="","",IF(COUNTIFS('Payments Log'!$B$8:$B$207,$A109)=0,"",SUMPRODUCT(MAX(('Payments Log'!$B$8:$B$207=$A109)*'Payments Log'!$E$8:$E$207))))</f>
        <v/>
      </c>
      <c r="V109" s="53" t="str">
        <f aca="false">IF($A109="","",IF($J109="","Not Delivered",IF($I109="","No Target Date",IF($J109&lt;=$I109,"On Time","Late"))))</f>
        <v/>
      </c>
      <c r="W109" s="53" t="str">
        <f aca="false">IF($A109="","",IF($X109="","OK","REVIEW"))</f>
        <v/>
      </c>
      <c r="X109" s="62" t="str">
        <f aca="false">IF($A109="","",TRIM(IF($B109="","Missing vendor ID. ","")&amp;IF($C109="NOT FOUND","Vendor ID not in Vendor Master. ","")&amp;IF(COUNTIFS('Invoice &amp; Delivery Log'!$A$8:$A$157,$A109)&gt;1,"Duplicate invoice ID. ","")&amp;IF(AND($D109&lt;&gt;"",COUNTIFS('Invoice &amp; Delivery Log'!$D$8:$D$157,$D109,'Invoice &amp; Delivery Log'!$B$8:$B$157,$B109)&gt;1),"Duplicate supplier invoice number. ","")&amp;IF($E109="","Missing PO number. ","")&amp;IF($H109="","Missing invoice date. ","")&amp;IF(N($N109)&lt;=0,"Invoice amount must be greater than zero. ","")&amp;IF(AND($H109&lt;&gt;"",$H109&gt;Settings!$C$5),"Invoice date is in the future. ","")&amp;IF(AND($K109="Received in Full",$J109=""),"Missing actual delivery date. ","")&amp;IF(ROUND(N($O109)-N($N109),2)&gt;0,"Payments exceed the invoice amount. ","")&amp;IF(AND($K109="Rejected",N($O109)&gt;0),"Payment made on a rejected delivery. ","")&amp;IF(AND($B109&lt;&gt;"",IFERROR(INDEX('Vendor Master'!$H$8:$H$47,MATCH($B109,'Vendor Master'!$A$8:$A$47,0)),"")="Inactive",ROUND(N($P109),2)&gt;0),"Open balance with an inactive vendor. ","")))</f>
        <v/>
      </c>
      <c r="Y109" s="53" t="str">
        <f aca="false">IF($A109="","",IF(ROUND($P109,2)&gt;0.004,"Yes","No"))</f>
        <v/>
      </c>
      <c r="Z109" s="49" t="str">
        <f aca="false">IF(OR($Y109&lt;&gt;"Yes",$M109=""),"",COUNTIFS('Invoice &amp; Delivery Log'!$Y$8:$Y$157,"Yes",'Invoice &amp; Delivery Log'!$M$8:$M$157,"&lt;"&amp;$M109)+COUNTIFS('Invoice &amp; Delivery Log'!$Y$8:$Y$157,"Yes",'Invoice &amp; Delivery Log'!$M$8:$M$157,$M109,'Invoice &amp; Delivery Log'!$A$8:$A$157,"&lt;"&amp;$A109)+1)</f>
        <v/>
      </c>
    </row>
    <row r="110" customFormat="false" ht="15" hidden="false" customHeight="true" outlineLevel="0" collapsed="false">
      <c r="A110" s="44"/>
      <c r="B110" s="44"/>
      <c r="C110" s="55" t="str">
        <f aca="false">IF($B110="","",IFERROR(INDEX('Vendor Master'!$B$8:$B$47,MATCH($B110,'Vendor Master'!$A$8:$A$47,0)),"NOT FOUND"))</f>
        <v/>
      </c>
      <c r="D110" s="44"/>
      <c r="E110" s="45"/>
      <c r="F110" s="55" t="str">
        <f aca="false">IF($B110="","",IFERROR(INDEX('Vendor Master'!$C$8:$C$47,MATCH($B110,'Vendor Master'!$A$8:$A$47,0)),""))</f>
        <v/>
      </c>
      <c r="G110" s="45"/>
      <c r="H110" s="56"/>
      <c r="I110" s="56"/>
      <c r="J110" s="56"/>
      <c r="K110" s="44"/>
      <c r="L110" s="57" t="str">
        <f aca="false">IF($B110="","",IFERROR(INDEX('Vendor Master'!$G$8:$G$47,MATCH($B110,'Vendor Master'!$A$8:$A$47,0)),""))</f>
        <v/>
      </c>
      <c r="M110" s="37" t="str">
        <f aca="false">IF(OR($H110="",$L110=""),"",$H110+$L110)</f>
        <v/>
      </c>
      <c r="N110" s="58"/>
      <c r="O110" s="30" t="str">
        <f aca="false">IF($A110="","",SUMIFS('Payments Log'!$F$8:$F$207,'Payments Log'!$B$8:$B$207,$A110))</f>
        <v/>
      </c>
      <c r="P110" s="30" t="str">
        <f aca="false">IF($A110="","",ROUND($N110-$O110,2))</f>
        <v/>
      </c>
      <c r="Q110" s="36" t="str">
        <f aca="false">IF($A110="","",IF(N($N110)&lt;=0,"Check Amount",IF(ROUND($O110,2)&lt;=0,"Unpaid",IF(ROUND($O110-$N110,2)&gt;0,"Overpaid",IF(ROUND($P110,2)&lt;=0,"Paid","Partially Paid")))))</f>
        <v/>
      </c>
      <c r="R110" s="47" t="str">
        <f aca="false">IF(OR($A110="",$M110=""),"",IF(ROUND($P110,2)&lt;=0,0,MAX(0,Settings!$C$5-$M110-Settings!$C$7)))</f>
        <v/>
      </c>
      <c r="S110" s="30" t="str">
        <f aca="false">IF($A110="","",IF(N($R110)&gt;0,MAX($P110,0),0))</f>
        <v/>
      </c>
      <c r="T110" s="36" t="str">
        <f aca="false">IF($A110="","",IF(ROUND($P110,2)&lt;0,"Supplier Credit",IF(ROUND($P110,2)=0,"Closed",IF($M110="","No Due Date",IF(N($R110)&lt;=0,"Not Due Yet",IF(N($R110)&lt;=Settings!$C$8,"1-30 Days Overdue",IF(N($R110)&lt;=Settings!$C$9,"31-60 Days Overdue",IF(N($R110)&lt;=Settings!$C$10,"61-90 Days Overdue","90+ Days Overdue"))))))))</f>
        <v/>
      </c>
      <c r="U110" s="37" t="str">
        <f aca="false">IF($A110="","",IF(COUNTIFS('Payments Log'!$B$8:$B$207,$A110)=0,"",SUMPRODUCT(MAX(('Payments Log'!$B$8:$B$207=$A110)*'Payments Log'!$E$8:$E$207))))</f>
        <v/>
      </c>
      <c r="V110" s="36" t="str">
        <f aca="false">IF($A110="","",IF($J110="","Not Delivered",IF($I110="","No Target Date",IF($J110&lt;=$I110,"On Time","Late"))))</f>
        <v/>
      </c>
      <c r="W110" s="36" t="str">
        <f aca="false">IF($A110="","",IF($X110="","OK","REVIEW"))</f>
        <v/>
      </c>
      <c r="X110" s="28" t="str">
        <f aca="false">IF($A110="","",TRIM(IF($B110="","Missing vendor ID. ","")&amp;IF($C110="NOT FOUND","Vendor ID not in Vendor Master. ","")&amp;IF(COUNTIFS('Invoice &amp; Delivery Log'!$A$8:$A$157,$A110)&gt;1,"Duplicate invoice ID. ","")&amp;IF(AND($D110&lt;&gt;"",COUNTIFS('Invoice &amp; Delivery Log'!$D$8:$D$157,$D110,'Invoice &amp; Delivery Log'!$B$8:$B$157,$B110)&gt;1),"Duplicate supplier invoice number. ","")&amp;IF($E110="","Missing PO number. ","")&amp;IF($H110="","Missing invoice date. ","")&amp;IF(N($N110)&lt;=0,"Invoice amount must be greater than zero. ","")&amp;IF(AND($H110&lt;&gt;"",$H110&gt;Settings!$C$5),"Invoice date is in the future. ","")&amp;IF(AND($K110="Received in Full",$J110=""),"Missing actual delivery date. ","")&amp;IF(ROUND(N($O110)-N($N110),2)&gt;0,"Payments exceed the invoice amount. ","")&amp;IF(AND($K110="Rejected",N($O110)&gt;0),"Payment made on a rejected delivery. ","")&amp;IF(AND($B110&lt;&gt;"",IFERROR(INDEX('Vendor Master'!$H$8:$H$47,MATCH($B110,'Vendor Master'!$A$8:$A$47,0)),"")="Inactive",ROUND(N($P110),2)&gt;0),"Open balance with an inactive vendor. ","")))</f>
        <v/>
      </c>
      <c r="Y110" s="36" t="str">
        <f aca="false">IF($A110="","",IF(ROUND($P110,2)&gt;0.004,"Yes","No"))</f>
        <v/>
      </c>
      <c r="Z110" s="29" t="str">
        <f aca="false">IF(OR($Y110&lt;&gt;"Yes",$M110=""),"",COUNTIFS('Invoice &amp; Delivery Log'!$Y$8:$Y$157,"Yes",'Invoice &amp; Delivery Log'!$M$8:$M$157,"&lt;"&amp;$M110)+COUNTIFS('Invoice &amp; Delivery Log'!$Y$8:$Y$157,"Yes",'Invoice &amp; Delivery Log'!$M$8:$M$157,$M110,'Invoice &amp; Delivery Log'!$A$8:$A$157,"&lt;"&amp;$A110)+1)</f>
        <v/>
      </c>
    </row>
    <row r="111" customFormat="false" ht="15" hidden="false" customHeight="true" outlineLevel="0" collapsed="false">
      <c r="A111" s="44"/>
      <c r="B111" s="44"/>
      <c r="C111" s="59" t="str">
        <f aca="false">IF($B111="","",IFERROR(INDEX('Vendor Master'!$B$8:$B$47,MATCH($B111,'Vendor Master'!$A$8:$A$47,0)),"NOT FOUND"))</f>
        <v/>
      </c>
      <c r="D111" s="44"/>
      <c r="E111" s="45"/>
      <c r="F111" s="59" t="str">
        <f aca="false">IF($B111="","",IFERROR(INDEX('Vendor Master'!$C$8:$C$47,MATCH($B111,'Vendor Master'!$A$8:$A$47,0)),""))</f>
        <v/>
      </c>
      <c r="G111" s="45"/>
      <c r="H111" s="56"/>
      <c r="I111" s="56"/>
      <c r="J111" s="56"/>
      <c r="K111" s="44"/>
      <c r="L111" s="60" t="str">
        <f aca="false">IF($B111="","",IFERROR(INDEX('Vendor Master'!$G$8:$G$47,MATCH($B111,'Vendor Master'!$A$8:$A$47,0)),""))</f>
        <v/>
      </c>
      <c r="M111" s="61" t="str">
        <f aca="false">IF(OR($H111="",$L111=""),"",$H111+$L111)</f>
        <v/>
      </c>
      <c r="N111" s="58"/>
      <c r="O111" s="50" t="str">
        <f aca="false">IF($A111="","",SUMIFS('Payments Log'!$F$8:$F$207,'Payments Log'!$B$8:$B$207,$A111))</f>
        <v/>
      </c>
      <c r="P111" s="50" t="str">
        <f aca="false">IF($A111="","",ROUND($N111-$O111,2))</f>
        <v/>
      </c>
      <c r="Q111" s="53" t="str">
        <f aca="false">IF($A111="","",IF(N($N111)&lt;=0,"Check Amount",IF(ROUND($O111,2)&lt;=0,"Unpaid",IF(ROUND($O111-$N111,2)&gt;0,"Overpaid",IF(ROUND($P111,2)&lt;=0,"Paid","Partially Paid")))))</f>
        <v/>
      </c>
      <c r="R111" s="52" t="str">
        <f aca="false">IF(OR($A111="",$M111=""),"",IF(ROUND($P111,2)&lt;=0,0,MAX(0,Settings!$C$5-$M111-Settings!$C$7)))</f>
        <v/>
      </c>
      <c r="S111" s="50" t="str">
        <f aca="false">IF($A111="","",IF(N($R111)&gt;0,MAX($P111,0),0))</f>
        <v/>
      </c>
      <c r="T111" s="53" t="str">
        <f aca="false">IF($A111="","",IF(ROUND($P111,2)&lt;0,"Supplier Credit",IF(ROUND($P111,2)=0,"Closed",IF($M111="","No Due Date",IF(N($R111)&lt;=0,"Not Due Yet",IF(N($R111)&lt;=Settings!$C$8,"1-30 Days Overdue",IF(N($R111)&lt;=Settings!$C$9,"31-60 Days Overdue",IF(N($R111)&lt;=Settings!$C$10,"61-90 Days Overdue","90+ Days Overdue"))))))))</f>
        <v/>
      </c>
      <c r="U111" s="61" t="str">
        <f aca="false">IF($A111="","",IF(COUNTIFS('Payments Log'!$B$8:$B$207,$A111)=0,"",SUMPRODUCT(MAX(('Payments Log'!$B$8:$B$207=$A111)*'Payments Log'!$E$8:$E$207))))</f>
        <v/>
      </c>
      <c r="V111" s="53" t="str">
        <f aca="false">IF($A111="","",IF($J111="","Not Delivered",IF($I111="","No Target Date",IF($J111&lt;=$I111,"On Time","Late"))))</f>
        <v/>
      </c>
      <c r="W111" s="53" t="str">
        <f aca="false">IF($A111="","",IF($X111="","OK","REVIEW"))</f>
        <v/>
      </c>
      <c r="X111" s="62" t="str">
        <f aca="false">IF($A111="","",TRIM(IF($B111="","Missing vendor ID. ","")&amp;IF($C111="NOT FOUND","Vendor ID not in Vendor Master. ","")&amp;IF(COUNTIFS('Invoice &amp; Delivery Log'!$A$8:$A$157,$A111)&gt;1,"Duplicate invoice ID. ","")&amp;IF(AND($D111&lt;&gt;"",COUNTIFS('Invoice &amp; Delivery Log'!$D$8:$D$157,$D111,'Invoice &amp; Delivery Log'!$B$8:$B$157,$B111)&gt;1),"Duplicate supplier invoice number. ","")&amp;IF($E111="","Missing PO number. ","")&amp;IF($H111="","Missing invoice date. ","")&amp;IF(N($N111)&lt;=0,"Invoice amount must be greater than zero. ","")&amp;IF(AND($H111&lt;&gt;"",$H111&gt;Settings!$C$5),"Invoice date is in the future. ","")&amp;IF(AND($K111="Received in Full",$J111=""),"Missing actual delivery date. ","")&amp;IF(ROUND(N($O111)-N($N111),2)&gt;0,"Payments exceed the invoice amount. ","")&amp;IF(AND($K111="Rejected",N($O111)&gt;0),"Payment made on a rejected delivery. ","")&amp;IF(AND($B111&lt;&gt;"",IFERROR(INDEX('Vendor Master'!$H$8:$H$47,MATCH($B111,'Vendor Master'!$A$8:$A$47,0)),"")="Inactive",ROUND(N($P111),2)&gt;0),"Open balance with an inactive vendor. ","")))</f>
        <v/>
      </c>
      <c r="Y111" s="53" t="str">
        <f aca="false">IF($A111="","",IF(ROUND($P111,2)&gt;0.004,"Yes","No"))</f>
        <v/>
      </c>
      <c r="Z111" s="49" t="str">
        <f aca="false">IF(OR($Y111&lt;&gt;"Yes",$M111=""),"",COUNTIFS('Invoice &amp; Delivery Log'!$Y$8:$Y$157,"Yes",'Invoice &amp; Delivery Log'!$M$8:$M$157,"&lt;"&amp;$M111)+COUNTIFS('Invoice &amp; Delivery Log'!$Y$8:$Y$157,"Yes",'Invoice &amp; Delivery Log'!$M$8:$M$157,$M111,'Invoice &amp; Delivery Log'!$A$8:$A$157,"&lt;"&amp;$A111)+1)</f>
        <v/>
      </c>
    </row>
    <row r="112" customFormat="false" ht="15" hidden="false" customHeight="true" outlineLevel="0" collapsed="false">
      <c r="A112" s="44"/>
      <c r="B112" s="44"/>
      <c r="C112" s="55" t="str">
        <f aca="false">IF($B112="","",IFERROR(INDEX('Vendor Master'!$B$8:$B$47,MATCH($B112,'Vendor Master'!$A$8:$A$47,0)),"NOT FOUND"))</f>
        <v/>
      </c>
      <c r="D112" s="44"/>
      <c r="E112" s="45"/>
      <c r="F112" s="55" t="str">
        <f aca="false">IF($B112="","",IFERROR(INDEX('Vendor Master'!$C$8:$C$47,MATCH($B112,'Vendor Master'!$A$8:$A$47,0)),""))</f>
        <v/>
      </c>
      <c r="G112" s="45"/>
      <c r="H112" s="56"/>
      <c r="I112" s="56"/>
      <c r="J112" s="56"/>
      <c r="K112" s="44"/>
      <c r="L112" s="57" t="str">
        <f aca="false">IF($B112="","",IFERROR(INDEX('Vendor Master'!$G$8:$G$47,MATCH($B112,'Vendor Master'!$A$8:$A$47,0)),""))</f>
        <v/>
      </c>
      <c r="M112" s="37" t="str">
        <f aca="false">IF(OR($H112="",$L112=""),"",$H112+$L112)</f>
        <v/>
      </c>
      <c r="N112" s="58"/>
      <c r="O112" s="30" t="str">
        <f aca="false">IF($A112="","",SUMIFS('Payments Log'!$F$8:$F$207,'Payments Log'!$B$8:$B$207,$A112))</f>
        <v/>
      </c>
      <c r="P112" s="30" t="str">
        <f aca="false">IF($A112="","",ROUND($N112-$O112,2))</f>
        <v/>
      </c>
      <c r="Q112" s="36" t="str">
        <f aca="false">IF($A112="","",IF(N($N112)&lt;=0,"Check Amount",IF(ROUND($O112,2)&lt;=0,"Unpaid",IF(ROUND($O112-$N112,2)&gt;0,"Overpaid",IF(ROUND($P112,2)&lt;=0,"Paid","Partially Paid")))))</f>
        <v/>
      </c>
      <c r="R112" s="47" t="str">
        <f aca="false">IF(OR($A112="",$M112=""),"",IF(ROUND($P112,2)&lt;=0,0,MAX(0,Settings!$C$5-$M112-Settings!$C$7)))</f>
        <v/>
      </c>
      <c r="S112" s="30" t="str">
        <f aca="false">IF($A112="","",IF(N($R112)&gt;0,MAX($P112,0),0))</f>
        <v/>
      </c>
      <c r="T112" s="36" t="str">
        <f aca="false">IF($A112="","",IF(ROUND($P112,2)&lt;0,"Supplier Credit",IF(ROUND($P112,2)=0,"Closed",IF($M112="","No Due Date",IF(N($R112)&lt;=0,"Not Due Yet",IF(N($R112)&lt;=Settings!$C$8,"1-30 Days Overdue",IF(N($R112)&lt;=Settings!$C$9,"31-60 Days Overdue",IF(N($R112)&lt;=Settings!$C$10,"61-90 Days Overdue","90+ Days Overdue"))))))))</f>
        <v/>
      </c>
      <c r="U112" s="37" t="str">
        <f aca="false">IF($A112="","",IF(COUNTIFS('Payments Log'!$B$8:$B$207,$A112)=0,"",SUMPRODUCT(MAX(('Payments Log'!$B$8:$B$207=$A112)*'Payments Log'!$E$8:$E$207))))</f>
        <v/>
      </c>
      <c r="V112" s="36" t="str">
        <f aca="false">IF($A112="","",IF($J112="","Not Delivered",IF($I112="","No Target Date",IF($J112&lt;=$I112,"On Time","Late"))))</f>
        <v/>
      </c>
      <c r="W112" s="36" t="str">
        <f aca="false">IF($A112="","",IF($X112="","OK","REVIEW"))</f>
        <v/>
      </c>
      <c r="X112" s="28" t="str">
        <f aca="false">IF($A112="","",TRIM(IF($B112="","Missing vendor ID. ","")&amp;IF($C112="NOT FOUND","Vendor ID not in Vendor Master. ","")&amp;IF(COUNTIFS('Invoice &amp; Delivery Log'!$A$8:$A$157,$A112)&gt;1,"Duplicate invoice ID. ","")&amp;IF(AND($D112&lt;&gt;"",COUNTIFS('Invoice &amp; Delivery Log'!$D$8:$D$157,$D112,'Invoice &amp; Delivery Log'!$B$8:$B$157,$B112)&gt;1),"Duplicate supplier invoice number. ","")&amp;IF($E112="","Missing PO number. ","")&amp;IF($H112="","Missing invoice date. ","")&amp;IF(N($N112)&lt;=0,"Invoice amount must be greater than zero. ","")&amp;IF(AND($H112&lt;&gt;"",$H112&gt;Settings!$C$5),"Invoice date is in the future. ","")&amp;IF(AND($K112="Received in Full",$J112=""),"Missing actual delivery date. ","")&amp;IF(ROUND(N($O112)-N($N112),2)&gt;0,"Payments exceed the invoice amount. ","")&amp;IF(AND($K112="Rejected",N($O112)&gt;0),"Payment made on a rejected delivery. ","")&amp;IF(AND($B112&lt;&gt;"",IFERROR(INDEX('Vendor Master'!$H$8:$H$47,MATCH($B112,'Vendor Master'!$A$8:$A$47,0)),"")="Inactive",ROUND(N($P112),2)&gt;0),"Open balance with an inactive vendor. ","")))</f>
        <v/>
      </c>
      <c r="Y112" s="36" t="str">
        <f aca="false">IF($A112="","",IF(ROUND($P112,2)&gt;0.004,"Yes","No"))</f>
        <v/>
      </c>
      <c r="Z112" s="29" t="str">
        <f aca="false">IF(OR($Y112&lt;&gt;"Yes",$M112=""),"",COUNTIFS('Invoice &amp; Delivery Log'!$Y$8:$Y$157,"Yes",'Invoice &amp; Delivery Log'!$M$8:$M$157,"&lt;"&amp;$M112)+COUNTIFS('Invoice &amp; Delivery Log'!$Y$8:$Y$157,"Yes",'Invoice &amp; Delivery Log'!$M$8:$M$157,$M112,'Invoice &amp; Delivery Log'!$A$8:$A$157,"&lt;"&amp;$A112)+1)</f>
        <v/>
      </c>
    </row>
    <row r="113" customFormat="false" ht="15" hidden="false" customHeight="true" outlineLevel="0" collapsed="false">
      <c r="A113" s="44"/>
      <c r="B113" s="44"/>
      <c r="C113" s="59" t="str">
        <f aca="false">IF($B113="","",IFERROR(INDEX('Vendor Master'!$B$8:$B$47,MATCH($B113,'Vendor Master'!$A$8:$A$47,0)),"NOT FOUND"))</f>
        <v/>
      </c>
      <c r="D113" s="44"/>
      <c r="E113" s="45"/>
      <c r="F113" s="59" t="str">
        <f aca="false">IF($B113="","",IFERROR(INDEX('Vendor Master'!$C$8:$C$47,MATCH($B113,'Vendor Master'!$A$8:$A$47,0)),""))</f>
        <v/>
      </c>
      <c r="G113" s="45"/>
      <c r="H113" s="56"/>
      <c r="I113" s="56"/>
      <c r="J113" s="56"/>
      <c r="K113" s="44"/>
      <c r="L113" s="60" t="str">
        <f aca="false">IF($B113="","",IFERROR(INDEX('Vendor Master'!$G$8:$G$47,MATCH($B113,'Vendor Master'!$A$8:$A$47,0)),""))</f>
        <v/>
      </c>
      <c r="M113" s="61" t="str">
        <f aca="false">IF(OR($H113="",$L113=""),"",$H113+$L113)</f>
        <v/>
      </c>
      <c r="N113" s="58"/>
      <c r="O113" s="50" t="str">
        <f aca="false">IF($A113="","",SUMIFS('Payments Log'!$F$8:$F$207,'Payments Log'!$B$8:$B$207,$A113))</f>
        <v/>
      </c>
      <c r="P113" s="50" t="str">
        <f aca="false">IF($A113="","",ROUND($N113-$O113,2))</f>
        <v/>
      </c>
      <c r="Q113" s="53" t="str">
        <f aca="false">IF($A113="","",IF(N($N113)&lt;=0,"Check Amount",IF(ROUND($O113,2)&lt;=0,"Unpaid",IF(ROUND($O113-$N113,2)&gt;0,"Overpaid",IF(ROUND($P113,2)&lt;=0,"Paid","Partially Paid")))))</f>
        <v/>
      </c>
      <c r="R113" s="52" t="str">
        <f aca="false">IF(OR($A113="",$M113=""),"",IF(ROUND($P113,2)&lt;=0,0,MAX(0,Settings!$C$5-$M113-Settings!$C$7)))</f>
        <v/>
      </c>
      <c r="S113" s="50" t="str">
        <f aca="false">IF($A113="","",IF(N($R113)&gt;0,MAX($P113,0),0))</f>
        <v/>
      </c>
      <c r="T113" s="53" t="str">
        <f aca="false">IF($A113="","",IF(ROUND($P113,2)&lt;0,"Supplier Credit",IF(ROUND($P113,2)=0,"Closed",IF($M113="","No Due Date",IF(N($R113)&lt;=0,"Not Due Yet",IF(N($R113)&lt;=Settings!$C$8,"1-30 Days Overdue",IF(N($R113)&lt;=Settings!$C$9,"31-60 Days Overdue",IF(N($R113)&lt;=Settings!$C$10,"61-90 Days Overdue","90+ Days Overdue"))))))))</f>
        <v/>
      </c>
      <c r="U113" s="61" t="str">
        <f aca="false">IF($A113="","",IF(COUNTIFS('Payments Log'!$B$8:$B$207,$A113)=0,"",SUMPRODUCT(MAX(('Payments Log'!$B$8:$B$207=$A113)*'Payments Log'!$E$8:$E$207))))</f>
        <v/>
      </c>
      <c r="V113" s="53" t="str">
        <f aca="false">IF($A113="","",IF($J113="","Not Delivered",IF($I113="","No Target Date",IF($J113&lt;=$I113,"On Time","Late"))))</f>
        <v/>
      </c>
      <c r="W113" s="53" t="str">
        <f aca="false">IF($A113="","",IF($X113="","OK","REVIEW"))</f>
        <v/>
      </c>
      <c r="X113" s="62" t="str">
        <f aca="false">IF($A113="","",TRIM(IF($B113="","Missing vendor ID. ","")&amp;IF($C113="NOT FOUND","Vendor ID not in Vendor Master. ","")&amp;IF(COUNTIFS('Invoice &amp; Delivery Log'!$A$8:$A$157,$A113)&gt;1,"Duplicate invoice ID. ","")&amp;IF(AND($D113&lt;&gt;"",COUNTIFS('Invoice &amp; Delivery Log'!$D$8:$D$157,$D113,'Invoice &amp; Delivery Log'!$B$8:$B$157,$B113)&gt;1),"Duplicate supplier invoice number. ","")&amp;IF($E113="","Missing PO number. ","")&amp;IF($H113="","Missing invoice date. ","")&amp;IF(N($N113)&lt;=0,"Invoice amount must be greater than zero. ","")&amp;IF(AND($H113&lt;&gt;"",$H113&gt;Settings!$C$5),"Invoice date is in the future. ","")&amp;IF(AND($K113="Received in Full",$J113=""),"Missing actual delivery date. ","")&amp;IF(ROUND(N($O113)-N($N113),2)&gt;0,"Payments exceed the invoice amount. ","")&amp;IF(AND($K113="Rejected",N($O113)&gt;0),"Payment made on a rejected delivery. ","")&amp;IF(AND($B113&lt;&gt;"",IFERROR(INDEX('Vendor Master'!$H$8:$H$47,MATCH($B113,'Vendor Master'!$A$8:$A$47,0)),"")="Inactive",ROUND(N($P113),2)&gt;0),"Open balance with an inactive vendor. ","")))</f>
        <v/>
      </c>
      <c r="Y113" s="53" t="str">
        <f aca="false">IF($A113="","",IF(ROUND($P113,2)&gt;0.004,"Yes","No"))</f>
        <v/>
      </c>
      <c r="Z113" s="49" t="str">
        <f aca="false">IF(OR($Y113&lt;&gt;"Yes",$M113=""),"",COUNTIFS('Invoice &amp; Delivery Log'!$Y$8:$Y$157,"Yes",'Invoice &amp; Delivery Log'!$M$8:$M$157,"&lt;"&amp;$M113)+COUNTIFS('Invoice &amp; Delivery Log'!$Y$8:$Y$157,"Yes",'Invoice &amp; Delivery Log'!$M$8:$M$157,$M113,'Invoice &amp; Delivery Log'!$A$8:$A$157,"&lt;"&amp;$A113)+1)</f>
        <v/>
      </c>
    </row>
    <row r="114" customFormat="false" ht="15" hidden="false" customHeight="true" outlineLevel="0" collapsed="false">
      <c r="A114" s="44"/>
      <c r="B114" s="44"/>
      <c r="C114" s="55" t="str">
        <f aca="false">IF($B114="","",IFERROR(INDEX('Vendor Master'!$B$8:$B$47,MATCH($B114,'Vendor Master'!$A$8:$A$47,0)),"NOT FOUND"))</f>
        <v/>
      </c>
      <c r="D114" s="44"/>
      <c r="E114" s="45"/>
      <c r="F114" s="55" t="str">
        <f aca="false">IF($B114="","",IFERROR(INDEX('Vendor Master'!$C$8:$C$47,MATCH($B114,'Vendor Master'!$A$8:$A$47,0)),""))</f>
        <v/>
      </c>
      <c r="G114" s="45"/>
      <c r="H114" s="56"/>
      <c r="I114" s="56"/>
      <c r="J114" s="56"/>
      <c r="K114" s="44"/>
      <c r="L114" s="57" t="str">
        <f aca="false">IF($B114="","",IFERROR(INDEX('Vendor Master'!$G$8:$G$47,MATCH($B114,'Vendor Master'!$A$8:$A$47,0)),""))</f>
        <v/>
      </c>
      <c r="M114" s="37" t="str">
        <f aca="false">IF(OR($H114="",$L114=""),"",$H114+$L114)</f>
        <v/>
      </c>
      <c r="N114" s="58"/>
      <c r="O114" s="30" t="str">
        <f aca="false">IF($A114="","",SUMIFS('Payments Log'!$F$8:$F$207,'Payments Log'!$B$8:$B$207,$A114))</f>
        <v/>
      </c>
      <c r="P114" s="30" t="str">
        <f aca="false">IF($A114="","",ROUND($N114-$O114,2))</f>
        <v/>
      </c>
      <c r="Q114" s="36" t="str">
        <f aca="false">IF($A114="","",IF(N($N114)&lt;=0,"Check Amount",IF(ROUND($O114,2)&lt;=0,"Unpaid",IF(ROUND($O114-$N114,2)&gt;0,"Overpaid",IF(ROUND($P114,2)&lt;=0,"Paid","Partially Paid")))))</f>
        <v/>
      </c>
      <c r="R114" s="47" t="str">
        <f aca="false">IF(OR($A114="",$M114=""),"",IF(ROUND($P114,2)&lt;=0,0,MAX(0,Settings!$C$5-$M114-Settings!$C$7)))</f>
        <v/>
      </c>
      <c r="S114" s="30" t="str">
        <f aca="false">IF($A114="","",IF(N($R114)&gt;0,MAX($P114,0),0))</f>
        <v/>
      </c>
      <c r="T114" s="36" t="str">
        <f aca="false">IF($A114="","",IF(ROUND($P114,2)&lt;0,"Supplier Credit",IF(ROUND($P114,2)=0,"Closed",IF($M114="","No Due Date",IF(N($R114)&lt;=0,"Not Due Yet",IF(N($R114)&lt;=Settings!$C$8,"1-30 Days Overdue",IF(N($R114)&lt;=Settings!$C$9,"31-60 Days Overdue",IF(N($R114)&lt;=Settings!$C$10,"61-90 Days Overdue","90+ Days Overdue"))))))))</f>
        <v/>
      </c>
      <c r="U114" s="37" t="str">
        <f aca="false">IF($A114="","",IF(COUNTIFS('Payments Log'!$B$8:$B$207,$A114)=0,"",SUMPRODUCT(MAX(('Payments Log'!$B$8:$B$207=$A114)*'Payments Log'!$E$8:$E$207))))</f>
        <v/>
      </c>
      <c r="V114" s="36" t="str">
        <f aca="false">IF($A114="","",IF($J114="","Not Delivered",IF($I114="","No Target Date",IF($J114&lt;=$I114,"On Time","Late"))))</f>
        <v/>
      </c>
      <c r="W114" s="36" t="str">
        <f aca="false">IF($A114="","",IF($X114="","OK","REVIEW"))</f>
        <v/>
      </c>
      <c r="X114" s="28" t="str">
        <f aca="false">IF($A114="","",TRIM(IF($B114="","Missing vendor ID. ","")&amp;IF($C114="NOT FOUND","Vendor ID not in Vendor Master. ","")&amp;IF(COUNTIFS('Invoice &amp; Delivery Log'!$A$8:$A$157,$A114)&gt;1,"Duplicate invoice ID. ","")&amp;IF(AND($D114&lt;&gt;"",COUNTIFS('Invoice &amp; Delivery Log'!$D$8:$D$157,$D114,'Invoice &amp; Delivery Log'!$B$8:$B$157,$B114)&gt;1),"Duplicate supplier invoice number. ","")&amp;IF($E114="","Missing PO number. ","")&amp;IF($H114="","Missing invoice date. ","")&amp;IF(N($N114)&lt;=0,"Invoice amount must be greater than zero. ","")&amp;IF(AND($H114&lt;&gt;"",$H114&gt;Settings!$C$5),"Invoice date is in the future. ","")&amp;IF(AND($K114="Received in Full",$J114=""),"Missing actual delivery date. ","")&amp;IF(ROUND(N($O114)-N($N114),2)&gt;0,"Payments exceed the invoice amount. ","")&amp;IF(AND($K114="Rejected",N($O114)&gt;0),"Payment made on a rejected delivery. ","")&amp;IF(AND($B114&lt;&gt;"",IFERROR(INDEX('Vendor Master'!$H$8:$H$47,MATCH($B114,'Vendor Master'!$A$8:$A$47,0)),"")="Inactive",ROUND(N($P114),2)&gt;0),"Open balance with an inactive vendor. ","")))</f>
        <v/>
      </c>
      <c r="Y114" s="36" t="str">
        <f aca="false">IF($A114="","",IF(ROUND($P114,2)&gt;0.004,"Yes","No"))</f>
        <v/>
      </c>
      <c r="Z114" s="29" t="str">
        <f aca="false">IF(OR($Y114&lt;&gt;"Yes",$M114=""),"",COUNTIFS('Invoice &amp; Delivery Log'!$Y$8:$Y$157,"Yes",'Invoice &amp; Delivery Log'!$M$8:$M$157,"&lt;"&amp;$M114)+COUNTIFS('Invoice &amp; Delivery Log'!$Y$8:$Y$157,"Yes",'Invoice &amp; Delivery Log'!$M$8:$M$157,$M114,'Invoice &amp; Delivery Log'!$A$8:$A$157,"&lt;"&amp;$A114)+1)</f>
        <v/>
      </c>
    </row>
    <row r="115" customFormat="false" ht="15" hidden="false" customHeight="true" outlineLevel="0" collapsed="false">
      <c r="A115" s="44"/>
      <c r="B115" s="44"/>
      <c r="C115" s="59" t="str">
        <f aca="false">IF($B115="","",IFERROR(INDEX('Vendor Master'!$B$8:$B$47,MATCH($B115,'Vendor Master'!$A$8:$A$47,0)),"NOT FOUND"))</f>
        <v/>
      </c>
      <c r="D115" s="44"/>
      <c r="E115" s="45"/>
      <c r="F115" s="59" t="str">
        <f aca="false">IF($B115="","",IFERROR(INDEX('Vendor Master'!$C$8:$C$47,MATCH($B115,'Vendor Master'!$A$8:$A$47,0)),""))</f>
        <v/>
      </c>
      <c r="G115" s="45"/>
      <c r="H115" s="56"/>
      <c r="I115" s="56"/>
      <c r="J115" s="56"/>
      <c r="K115" s="44"/>
      <c r="L115" s="60" t="str">
        <f aca="false">IF($B115="","",IFERROR(INDEX('Vendor Master'!$G$8:$G$47,MATCH($B115,'Vendor Master'!$A$8:$A$47,0)),""))</f>
        <v/>
      </c>
      <c r="M115" s="61" t="str">
        <f aca="false">IF(OR($H115="",$L115=""),"",$H115+$L115)</f>
        <v/>
      </c>
      <c r="N115" s="58"/>
      <c r="O115" s="50" t="str">
        <f aca="false">IF($A115="","",SUMIFS('Payments Log'!$F$8:$F$207,'Payments Log'!$B$8:$B$207,$A115))</f>
        <v/>
      </c>
      <c r="P115" s="50" t="str">
        <f aca="false">IF($A115="","",ROUND($N115-$O115,2))</f>
        <v/>
      </c>
      <c r="Q115" s="53" t="str">
        <f aca="false">IF($A115="","",IF(N($N115)&lt;=0,"Check Amount",IF(ROUND($O115,2)&lt;=0,"Unpaid",IF(ROUND($O115-$N115,2)&gt;0,"Overpaid",IF(ROUND($P115,2)&lt;=0,"Paid","Partially Paid")))))</f>
        <v/>
      </c>
      <c r="R115" s="52" t="str">
        <f aca="false">IF(OR($A115="",$M115=""),"",IF(ROUND($P115,2)&lt;=0,0,MAX(0,Settings!$C$5-$M115-Settings!$C$7)))</f>
        <v/>
      </c>
      <c r="S115" s="50" t="str">
        <f aca="false">IF($A115="","",IF(N($R115)&gt;0,MAX($P115,0),0))</f>
        <v/>
      </c>
      <c r="T115" s="53" t="str">
        <f aca="false">IF($A115="","",IF(ROUND($P115,2)&lt;0,"Supplier Credit",IF(ROUND($P115,2)=0,"Closed",IF($M115="","No Due Date",IF(N($R115)&lt;=0,"Not Due Yet",IF(N($R115)&lt;=Settings!$C$8,"1-30 Days Overdue",IF(N($R115)&lt;=Settings!$C$9,"31-60 Days Overdue",IF(N($R115)&lt;=Settings!$C$10,"61-90 Days Overdue","90+ Days Overdue"))))))))</f>
        <v/>
      </c>
      <c r="U115" s="61" t="str">
        <f aca="false">IF($A115="","",IF(COUNTIFS('Payments Log'!$B$8:$B$207,$A115)=0,"",SUMPRODUCT(MAX(('Payments Log'!$B$8:$B$207=$A115)*'Payments Log'!$E$8:$E$207))))</f>
        <v/>
      </c>
      <c r="V115" s="53" t="str">
        <f aca="false">IF($A115="","",IF($J115="","Not Delivered",IF($I115="","No Target Date",IF($J115&lt;=$I115,"On Time","Late"))))</f>
        <v/>
      </c>
      <c r="W115" s="53" t="str">
        <f aca="false">IF($A115="","",IF($X115="","OK","REVIEW"))</f>
        <v/>
      </c>
      <c r="X115" s="62" t="str">
        <f aca="false">IF($A115="","",TRIM(IF($B115="","Missing vendor ID. ","")&amp;IF($C115="NOT FOUND","Vendor ID not in Vendor Master. ","")&amp;IF(COUNTIFS('Invoice &amp; Delivery Log'!$A$8:$A$157,$A115)&gt;1,"Duplicate invoice ID. ","")&amp;IF(AND($D115&lt;&gt;"",COUNTIFS('Invoice &amp; Delivery Log'!$D$8:$D$157,$D115,'Invoice &amp; Delivery Log'!$B$8:$B$157,$B115)&gt;1),"Duplicate supplier invoice number. ","")&amp;IF($E115="","Missing PO number. ","")&amp;IF($H115="","Missing invoice date. ","")&amp;IF(N($N115)&lt;=0,"Invoice amount must be greater than zero. ","")&amp;IF(AND($H115&lt;&gt;"",$H115&gt;Settings!$C$5),"Invoice date is in the future. ","")&amp;IF(AND($K115="Received in Full",$J115=""),"Missing actual delivery date. ","")&amp;IF(ROUND(N($O115)-N($N115),2)&gt;0,"Payments exceed the invoice amount. ","")&amp;IF(AND($K115="Rejected",N($O115)&gt;0),"Payment made on a rejected delivery. ","")&amp;IF(AND($B115&lt;&gt;"",IFERROR(INDEX('Vendor Master'!$H$8:$H$47,MATCH($B115,'Vendor Master'!$A$8:$A$47,0)),"")="Inactive",ROUND(N($P115),2)&gt;0),"Open balance with an inactive vendor. ","")))</f>
        <v/>
      </c>
      <c r="Y115" s="53" t="str">
        <f aca="false">IF($A115="","",IF(ROUND($P115,2)&gt;0.004,"Yes","No"))</f>
        <v/>
      </c>
      <c r="Z115" s="49" t="str">
        <f aca="false">IF(OR($Y115&lt;&gt;"Yes",$M115=""),"",COUNTIFS('Invoice &amp; Delivery Log'!$Y$8:$Y$157,"Yes",'Invoice &amp; Delivery Log'!$M$8:$M$157,"&lt;"&amp;$M115)+COUNTIFS('Invoice &amp; Delivery Log'!$Y$8:$Y$157,"Yes",'Invoice &amp; Delivery Log'!$M$8:$M$157,$M115,'Invoice &amp; Delivery Log'!$A$8:$A$157,"&lt;"&amp;$A115)+1)</f>
        <v/>
      </c>
    </row>
    <row r="116" customFormat="false" ht="15" hidden="false" customHeight="true" outlineLevel="0" collapsed="false">
      <c r="A116" s="44"/>
      <c r="B116" s="44"/>
      <c r="C116" s="55" t="str">
        <f aca="false">IF($B116="","",IFERROR(INDEX('Vendor Master'!$B$8:$B$47,MATCH($B116,'Vendor Master'!$A$8:$A$47,0)),"NOT FOUND"))</f>
        <v/>
      </c>
      <c r="D116" s="44"/>
      <c r="E116" s="45"/>
      <c r="F116" s="55" t="str">
        <f aca="false">IF($B116="","",IFERROR(INDEX('Vendor Master'!$C$8:$C$47,MATCH($B116,'Vendor Master'!$A$8:$A$47,0)),""))</f>
        <v/>
      </c>
      <c r="G116" s="45"/>
      <c r="H116" s="56"/>
      <c r="I116" s="56"/>
      <c r="J116" s="56"/>
      <c r="K116" s="44"/>
      <c r="L116" s="57" t="str">
        <f aca="false">IF($B116="","",IFERROR(INDEX('Vendor Master'!$G$8:$G$47,MATCH($B116,'Vendor Master'!$A$8:$A$47,0)),""))</f>
        <v/>
      </c>
      <c r="M116" s="37" t="str">
        <f aca="false">IF(OR($H116="",$L116=""),"",$H116+$L116)</f>
        <v/>
      </c>
      <c r="N116" s="58"/>
      <c r="O116" s="30" t="str">
        <f aca="false">IF($A116="","",SUMIFS('Payments Log'!$F$8:$F$207,'Payments Log'!$B$8:$B$207,$A116))</f>
        <v/>
      </c>
      <c r="P116" s="30" t="str">
        <f aca="false">IF($A116="","",ROUND($N116-$O116,2))</f>
        <v/>
      </c>
      <c r="Q116" s="36" t="str">
        <f aca="false">IF($A116="","",IF(N($N116)&lt;=0,"Check Amount",IF(ROUND($O116,2)&lt;=0,"Unpaid",IF(ROUND($O116-$N116,2)&gt;0,"Overpaid",IF(ROUND($P116,2)&lt;=0,"Paid","Partially Paid")))))</f>
        <v/>
      </c>
      <c r="R116" s="47" t="str">
        <f aca="false">IF(OR($A116="",$M116=""),"",IF(ROUND($P116,2)&lt;=0,0,MAX(0,Settings!$C$5-$M116-Settings!$C$7)))</f>
        <v/>
      </c>
      <c r="S116" s="30" t="str">
        <f aca="false">IF($A116="","",IF(N($R116)&gt;0,MAX($P116,0),0))</f>
        <v/>
      </c>
      <c r="T116" s="36" t="str">
        <f aca="false">IF($A116="","",IF(ROUND($P116,2)&lt;0,"Supplier Credit",IF(ROUND($P116,2)=0,"Closed",IF($M116="","No Due Date",IF(N($R116)&lt;=0,"Not Due Yet",IF(N($R116)&lt;=Settings!$C$8,"1-30 Days Overdue",IF(N($R116)&lt;=Settings!$C$9,"31-60 Days Overdue",IF(N($R116)&lt;=Settings!$C$10,"61-90 Days Overdue","90+ Days Overdue"))))))))</f>
        <v/>
      </c>
      <c r="U116" s="37" t="str">
        <f aca="false">IF($A116="","",IF(COUNTIFS('Payments Log'!$B$8:$B$207,$A116)=0,"",SUMPRODUCT(MAX(('Payments Log'!$B$8:$B$207=$A116)*'Payments Log'!$E$8:$E$207))))</f>
        <v/>
      </c>
      <c r="V116" s="36" t="str">
        <f aca="false">IF($A116="","",IF($J116="","Not Delivered",IF($I116="","No Target Date",IF($J116&lt;=$I116,"On Time","Late"))))</f>
        <v/>
      </c>
      <c r="W116" s="36" t="str">
        <f aca="false">IF($A116="","",IF($X116="","OK","REVIEW"))</f>
        <v/>
      </c>
      <c r="X116" s="28" t="str">
        <f aca="false">IF($A116="","",TRIM(IF($B116="","Missing vendor ID. ","")&amp;IF($C116="NOT FOUND","Vendor ID not in Vendor Master. ","")&amp;IF(COUNTIFS('Invoice &amp; Delivery Log'!$A$8:$A$157,$A116)&gt;1,"Duplicate invoice ID. ","")&amp;IF(AND($D116&lt;&gt;"",COUNTIFS('Invoice &amp; Delivery Log'!$D$8:$D$157,$D116,'Invoice &amp; Delivery Log'!$B$8:$B$157,$B116)&gt;1),"Duplicate supplier invoice number. ","")&amp;IF($E116="","Missing PO number. ","")&amp;IF($H116="","Missing invoice date. ","")&amp;IF(N($N116)&lt;=0,"Invoice amount must be greater than zero. ","")&amp;IF(AND($H116&lt;&gt;"",$H116&gt;Settings!$C$5),"Invoice date is in the future. ","")&amp;IF(AND($K116="Received in Full",$J116=""),"Missing actual delivery date. ","")&amp;IF(ROUND(N($O116)-N($N116),2)&gt;0,"Payments exceed the invoice amount. ","")&amp;IF(AND($K116="Rejected",N($O116)&gt;0),"Payment made on a rejected delivery. ","")&amp;IF(AND($B116&lt;&gt;"",IFERROR(INDEX('Vendor Master'!$H$8:$H$47,MATCH($B116,'Vendor Master'!$A$8:$A$47,0)),"")="Inactive",ROUND(N($P116),2)&gt;0),"Open balance with an inactive vendor. ","")))</f>
        <v/>
      </c>
      <c r="Y116" s="36" t="str">
        <f aca="false">IF($A116="","",IF(ROUND($P116,2)&gt;0.004,"Yes","No"))</f>
        <v/>
      </c>
      <c r="Z116" s="29" t="str">
        <f aca="false">IF(OR($Y116&lt;&gt;"Yes",$M116=""),"",COUNTIFS('Invoice &amp; Delivery Log'!$Y$8:$Y$157,"Yes",'Invoice &amp; Delivery Log'!$M$8:$M$157,"&lt;"&amp;$M116)+COUNTIFS('Invoice &amp; Delivery Log'!$Y$8:$Y$157,"Yes",'Invoice &amp; Delivery Log'!$M$8:$M$157,$M116,'Invoice &amp; Delivery Log'!$A$8:$A$157,"&lt;"&amp;$A116)+1)</f>
        <v/>
      </c>
    </row>
    <row r="117" customFormat="false" ht="15" hidden="false" customHeight="true" outlineLevel="0" collapsed="false">
      <c r="A117" s="44"/>
      <c r="B117" s="44"/>
      <c r="C117" s="59" t="str">
        <f aca="false">IF($B117="","",IFERROR(INDEX('Vendor Master'!$B$8:$B$47,MATCH($B117,'Vendor Master'!$A$8:$A$47,0)),"NOT FOUND"))</f>
        <v/>
      </c>
      <c r="D117" s="44"/>
      <c r="E117" s="45"/>
      <c r="F117" s="59" t="str">
        <f aca="false">IF($B117="","",IFERROR(INDEX('Vendor Master'!$C$8:$C$47,MATCH($B117,'Vendor Master'!$A$8:$A$47,0)),""))</f>
        <v/>
      </c>
      <c r="G117" s="45"/>
      <c r="H117" s="56"/>
      <c r="I117" s="56"/>
      <c r="J117" s="56"/>
      <c r="K117" s="44"/>
      <c r="L117" s="60" t="str">
        <f aca="false">IF($B117="","",IFERROR(INDEX('Vendor Master'!$G$8:$G$47,MATCH($B117,'Vendor Master'!$A$8:$A$47,0)),""))</f>
        <v/>
      </c>
      <c r="M117" s="61" t="str">
        <f aca="false">IF(OR($H117="",$L117=""),"",$H117+$L117)</f>
        <v/>
      </c>
      <c r="N117" s="58"/>
      <c r="O117" s="50" t="str">
        <f aca="false">IF($A117="","",SUMIFS('Payments Log'!$F$8:$F$207,'Payments Log'!$B$8:$B$207,$A117))</f>
        <v/>
      </c>
      <c r="P117" s="50" t="str">
        <f aca="false">IF($A117="","",ROUND($N117-$O117,2))</f>
        <v/>
      </c>
      <c r="Q117" s="53" t="str">
        <f aca="false">IF($A117="","",IF(N($N117)&lt;=0,"Check Amount",IF(ROUND($O117,2)&lt;=0,"Unpaid",IF(ROUND($O117-$N117,2)&gt;0,"Overpaid",IF(ROUND($P117,2)&lt;=0,"Paid","Partially Paid")))))</f>
        <v/>
      </c>
      <c r="R117" s="52" t="str">
        <f aca="false">IF(OR($A117="",$M117=""),"",IF(ROUND($P117,2)&lt;=0,0,MAX(0,Settings!$C$5-$M117-Settings!$C$7)))</f>
        <v/>
      </c>
      <c r="S117" s="50" t="str">
        <f aca="false">IF($A117="","",IF(N($R117)&gt;0,MAX($P117,0),0))</f>
        <v/>
      </c>
      <c r="T117" s="53" t="str">
        <f aca="false">IF($A117="","",IF(ROUND($P117,2)&lt;0,"Supplier Credit",IF(ROUND($P117,2)=0,"Closed",IF($M117="","No Due Date",IF(N($R117)&lt;=0,"Not Due Yet",IF(N($R117)&lt;=Settings!$C$8,"1-30 Days Overdue",IF(N($R117)&lt;=Settings!$C$9,"31-60 Days Overdue",IF(N($R117)&lt;=Settings!$C$10,"61-90 Days Overdue","90+ Days Overdue"))))))))</f>
        <v/>
      </c>
      <c r="U117" s="61" t="str">
        <f aca="false">IF($A117="","",IF(COUNTIFS('Payments Log'!$B$8:$B$207,$A117)=0,"",SUMPRODUCT(MAX(('Payments Log'!$B$8:$B$207=$A117)*'Payments Log'!$E$8:$E$207))))</f>
        <v/>
      </c>
      <c r="V117" s="53" t="str">
        <f aca="false">IF($A117="","",IF($J117="","Not Delivered",IF($I117="","No Target Date",IF($J117&lt;=$I117,"On Time","Late"))))</f>
        <v/>
      </c>
      <c r="W117" s="53" t="str">
        <f aca="false">IF($A117="","",IF($X117="","OK","REVIEW"))</f>
        <v/>
      </c>
      <c r="X117" s="62" t="str">
        <f aca="false">IF($A117="","",TRIM(IF($B117="","Missing vendor ID. ","")&amp;IF($C117="NOT FOUND","Vendor ID not in Vendor Master. ","")&amp;IF(COUNTIFS('Invoice &amp; Delivery Log'!$A$8:$A$157,$A117)&gt;1,"Duplicate invoice ID. ","")&amp;IF(AND($D117&lt;&gt;"",COUNTIFS('Invoice &amp; Delivery Log'!$D$8:$D$157,$D117,'Invoice &amp; Delivery Log'!$B$8:$B$157,$B117)&gt;1),"Duplicate supplier invoice number. ","")&amp;IF($E117="","Missing PO number. ","")&amp;IF($H117="","Missing invoice date. ","")&amp;IF(N($N117)&lt;=0,"Invoice amount must be greater than zero. ","")&amp;IF(AND($H117&lt;&gt;"",$H117&gt;Settings!$C$5),"Invoice date is in the future. ","")&amp;IF(AND($K117="Received in Full",$J117=""),"Missing actual delivery date. ","")&amp;IF(ROUND(N($O117)-N($N117),2)&gt;0,"Payments exceed the invoice amount. ","")&amp;IF(AND($K117="Rejected",N($O117)&gt;0),"Payment made on a rejected delivery. ","")&amp;IF(AND($B117&lt;&gt;"",IFERROR(INDEX('Vendor Master'!$H$8:$H$47,MATCH($B117,'Vendor Master'!$A$8:$A$47,0)),"")="Inactive",ROUND(N($P117),2)&gt;0),"Open balance with an inactive vendor. ","")))</f>
        <v/>
      </c>
      <c r="Y117" s="53" t="str">
        <f aca="false">IF($A117="","",IF(ROUND($P117,2)&gt;0.004,"Yes","No"))</f>
        <v/>
      </c>
      <c r="Z117" s="49" t="str">
        <f aca="false">IF(OR($Y117&lt;&gt;"Yes",$M117=""),"",COUNTIFS('Invoice &amp; Delivery Log'!$Y$8:$Y$157,"Yes",'Invoice &amp; Delivery Log'!$M$8:$M$157,"&lt;"&amp;$M117)+COUNTIFS('Invoice &amp; Delivery Log'!$Y$8:$Y$157,"Yes",'Invoice &amp; Delivery Log'!$M$8:$M$157,$M117,'Invoice &amp; Delivery Log'!$A$8:$A$157,"&lt;"&amp;$A117)+1)</f>
        <v/>
      </c>
    </row>
    <row r="118" customFormat="false" ht="15" hidden="false" customHeight="true" outlineLevel="0" collapsed="false">
      <c r="A118" s="44"/>
      <c r="B118" s="44"/>
      <c r="C118" s="55" t="str">
        <f aca="false">IF($B118="","",IFERROR(INDEX('Vendor Master'!$B$8:$B$47,MATCH($B118,'Vendor Master'!$A$8:$A$47,0)),"NOT FOUND"))</f>
        <v/>
      </c>
      <c r="D118" s="44"/>
      <c r="E118" s="45"/>
      <c r="F118" s="55" t="str">
        <f aca="false">IF($B118="","",IFERROR(INDEX('Vendor Master'!$C$8:$C$47,MATCH($B118,'Vendor Master'!$A$8:$A$47,0)),""))</f>
        <v/>
      </c>
      <c r="G118" s="45"/>
      <c r="H118" s="56"/>
      <c r="I118" s="56"/>
      <c r="J118" s="56"/>
      <c r="K118" s="44"/>
      <c r="L118" s="57" t="str">
        <f aca="false">IF($B118="","",IFERROR(INDEX('Vendor Master'!$G$8:$G$47,MATCH($B118,'Vendor Master'!$A$8:$A$47,0)),""))</f>
        <v/>
      </c>
      <c r="M118" s="37" t="str">
        <f aca="false">IF(OR($H118="",$L118=""),"",$H118+$L118)</f>
        <v/>
      </c>
      <c r="N118" s="58"/>
      <c r="O118" s="30" t="str">
        <f aca="false">IF($A118="","",SUMIFS('Payments Log'!$F$8:$F$207,'Payments Log'!$B$8:$B$207,$A118))</f>
        <v/>
      </c>
      <c r="P118" s="30" t="str">
        <f aca="false">IF($A118="","",ROUND($N118-$O118,2))</f>
        <v/>
      </c>
      <c r="Q118" s="36" t="str">
        <f aca="false">IF($A118="","",IF(N($N118)&lt;=0,"Check Amount",IF(ROUND($O118,2)&lt;=0,"Unpaid",IF(ROUND($O118-$N118,2)&gt;0,"Overpaid",IF(ROUND($P118,2)&lt;=0,"Paid","Partially Paid")))))</f>
        <v/>
      </c>
      <c r="R118" s="47" t="str">
        <f aca="false">IF(OR($A118="",$M118=""),"",IF(ROUND($P118,2)&lt;=0,0,MAX(0,Settings!$C$5-$M118-Settings!$C$7)))</f>
        <v/>
      </c>
      <c r="S118" s="30" t="str">
        <f aca="false">IF($A118="","",IF(N($R118)&gt;0,MAX($P118,0),0))</f>
        <v/>
      </c>
      <c r="T118" s="36" t="str">
        <f aca="false">IF($A118="","",IF(ROUND($P118,2)&lt;0,"Supplier Credit",IF(ROUND($P118,2)=0,"Closed",IF($M118="","No Due Date",IF(N($R118)&lt;=0,"Not Due Yet",IF(N($R118)&lt;=Settings!$C$8,"1-30 Days Overdue",IF(N($R118)&lt;=Settings!$C$9,"31-60 Days Overdue",IF(N($R118)&lt;=Settings!$C$10,"61-90 Days Overdue","90+ Days Overdue"))))))))</f>
        <v/>
      </c>
      <c r="U118" s="37" t="str">
        <f aca="false">IF($A118="","",IF(COUNTIFS('Payments Log'!$B$8:$B$207,$A118)=0,"",SUMPRODUCT(MAX(('Payments Log'!$B$8:$B$207=$A118)*'Payments Log'!$E$8:$E$207))))</f>
        <v/>
      </c>
      <c r="V118" s="36" t="str">
        <f aca="false">IF($A118="","",IF($J118="","Not Delivered",IF($I118="","No Target Date",IF($J118&lt;=$I118,"On Time","Late"))))</f>
        <v/>
      </c>
      <c r="W118" s="36" t="str">
        <f aca="false">IF($A118="","",IF($X118="","OK","REVIEW"))</f>
        <v/>
      </c>
      <c r="X118" s="28" t="str">
        <f aca="false">IF($A118="","",TRIM(IF($B118="","Missing vendor ID. ","")&amp;IF($C118="NOT FOUND","Vendor ID not in Vendor Master. ","")&amp;IF(COUNTIFS('Invoice &amp; Delivery Log'!$A$8:$A$157,$A118)&gt;1,"Duplicate invoice ID. ","")&amp;IF(AND($D118&lt;&gt;"",COUNTIFS('Invoice &amp; Delivery Log'!$D$8:$D$157,$D118,'Invoice &amp; Delivery Log'!$B$8:$B$157,$B118)&gt;1),"Duplicate supplier invoice number. ","")&amp;IF($E118="","Missing PO number. ","")&amp;IF($H118="","Missing invoice date. ","")&amp;IF(N($N118)&lt;=0,"Invoice amount must be greater than zero. ","")&amp;IF(AND($H118&lt;&gt;"",$H118&gt;Settings!$C$5),"Invoice date is in the future. ","")&amp;IF(AND($K118="Received in Full",$J118=""),"Missing actual delivery date. ","")&amp;IF(ROUND(N($O118)-N($N118),2)&gt;0,"Payments exceed the invoice amount. ","")&amp;IF(AND($K118="Rejected",N($O118)&gt;0),"Payment made on a rejected delivery. ","")&amp;IF(AND($B118&lt;&gt;"",IFERROR(INDEX('Vendor Master'!$H$8:$H$47,MATCH($B118,'Vendor Master'!$A$8:$A$47,0)),"")="Inactive",ROUND(N($P118),2)&gt;0),"Open balance with an inactive vendor. ","")))</f>
        <v/>
      </c>
      <c r="Y118" s="36" t="str">
        <f aca="false">IF($A118="","",IF(ROUND($P118,2)&gt;0.004,"Yes","No"))</f>
        <v/>
      </c>
      <c r="Z118" s="29" t="str">
        <f aca="false">IF(OR($Y118&lt;&gt;"Yes",$M118=""),"",COUNTIFS('Invoice &amp; Delivery Log'!$Y$8:$Y$157,"Yes",'Invoice &amp; Delivery Log'!$M$8:$M$157,"&lt;"&amp;$M118)+COUNTIFS('Invoice &amp; Delivery Log'!$Y$8:$Y$157,"Yes",'Invoice &amp; Delivery Log'!$M$8:$M$157,$M118,'Invoice &amp; Delivery Log'!$A$8:$A$157,"&lt;"&amp;$A118)+1)</f>
        <v/>
      </c>
    </row>
    <row r="119" customFormat="false" ht="15" hidden="false" customHeight="true" outlineLevel="0" collapsed="false">
      <c r="A119" s="44"/>
      <c r="B119" s="44"/>
      <c r="C119" s="59" t="str">
        <f aca="false">IF($B119="","",IFERROR(INDEX('Vendor Master'!$B$8:$B$47,MATCH($B119,'Vendor Master'!$A$8:$A$47,0)),"NOT FOUND"))</f>
        <v/>
      </c>
      <c r="D119" s="44"/>
      <c r="E119" s="45"/>
      <c r="F119" s="59" t="str">
        <f aca="false">IF($B119="","",IFERROR(INDEX('Vendor Master'!$C$8:$C$47,MATCH($B119,'Vendor Master'!$A$8:$A$47,0)),""))</f>
        <v/>
      </c>
      <c r="G119" s="45"/>
      <c r="H119" s="56"/>
      <c r="I119" s="56"/>
      <c r="J119" s="56"/>
      <c r="K119" s="44"/>
      <c r="L119" s="60" t="str">
        <f aca="false">IF($B119="","",IFERROR(INDEX('Vendor Master'!$G$8:$G$47,MATCH($B119,'Vendor Master'!$A$8:$A$47,0)),""))</f>
        <v/>
      </c>
      <c r="M119" s="61" t="str">
        <f aca="false">IF(OR($H119="",$L119=""),"",$H119+$L119)</f>
        <v/>
      </c>
      <c r="N119" s="58"/>
      <c r="O119" s="50" t="str">
        <f aca="false">IF($A119="","",SUMIFS('Payments Log'!$F$8:$F$207,'Payments Log'!$B$8:$B$207,$A119))</f>
        <v/>
      </c>
      <c r="P119" s="50" t="str">
        <f aca="false">IF($A119="","",ROUND($N119-$O119,2))</f>
        <v/>
      </c>
      <c r="Q119" s="53" t="str">
        <f aca="false">IF($A119="","",IF(N($N119)&lt;=0,"Check Amount",IF(ROUND($O119,2)&lt;=0,"Unpaid",IF(ROUND($O119-$N119,2)&gt;0,"Overpaid",IF(ROUND($P119,2)&lt;=0,"Paid","Partially Paid")))))</f>
        <v/>
      </c>
      <c r="R119" s="52" t="str">
        <f aca="false">IF(OR($A119="",$M119=""),"",IF(ROUND($P119,2)&lt;=0,0,MAX(0,Settings!$C$5-$M119-Settings!$C$7)))</f>
        <v/>
      </c>
      <c r="S119" s="50" t="str">
        <f aca="false">IF($A119="","",IF(N($R119)&gt;0,MAX($P119,0),0))</f>
        <v/>
      </c>
      <c r="T119" s="53" t="str">
        <f aca="false">IF($A119="","",IF(ROUND($P119,2)&lt;0,"Supplier Credit",IF(ROUND($P119,2)=0,"Closed",IF($M119="","No Due Date",IF(N($R119)&lt;=0,"Not Due Yet",IF(N($R119)&lt;=Settings!$C$8,"1-30 Days Overdue",IF(N($R119)&lt;=Settings!$C$9,"31-60 Days Overdue",IF(N($R119)&lt;=Settings!$C$10,"61-90 Days Overdue","90+ Days Overdue"))))))))</f>
        <v/>
      </c>
      <c r="U119" s="61" t="str">
        <f aca="false">IF($A119="","",IF(COUNTIFS('Payments Log'!$B$8:$B$207,$A119)=0,"",SUMPRODUCT(MAX(('Payments Log'!$B$8:$B$207=$A119)*'Payments Log'!$E$8:$E$207))))</f>
        <v/>
      </c>
      <c r="V119" s="53" t="str">
        <f aca="false">IF($A119="","",IF($J119="","Not Delivered",IF($I119="","No Target Date",IF($J119&lt;=$I119,"On Time","Late"))))</f>
        <v/>
      </c>
      <c r="W119" s="53" t="str">
        <f aca="false">IF($A119="","",IF($X119="","OK","REVIEW"))</f>
        <v/>
      </c>
      <c r="X119" s="62" t="str">
        <f aca="false">IF($A119="","",TRIM(IF($B119="","Missing vendor ID. ","")&amp;IF($C119="NOT FOUND","Vendor ID not in Vendor Master. ","")&amp;IF(COUNTIFS('Invoice &amp; Delivery Log'!$A$8:$A$157,$A119)&gt;1,"Duplicate invoice ID. ","")&amp;IF(AND($D119&lt;&gt;"",COUNTIFS('Invoice &amp; Delivery Log'!$D$8:$D$157,$D119,'Invoice &amp; Delivery Log'!$B$8:$B$157,$B119)&gt;1),"Duplicate supplier invoice number. ","")&amp;IF($E119="","Missing PO number. ","")&amp;IF($H119="","Missing invoice date. ","")&amp;IF(N($N119)&lt;=0,"Invoice amount must be greater than zero. ","")&amp;IF(AND($H119&lt;&gt;"",$H119&gt;Settings!$C$5),"Invoice date is in the future. ","")&amp;IF(AND($K119="Received in Full",$J119=""),"Missing actual delivery date. ","")&amp;IF(ROUND(N($O119)-N($N119),2)&gt;0,"Payments exceed the invoice amount. ","")&amp;IF(AND($K119="Rejected",N($O119)&gt;0),"Payment made on a rejected delivery. ","")&amp;IF(AND($B119&lt;&gt;"",IFERROR(INDEX('Vendor Master'!$H$8:$H$47,MATCH($B119,'Vendor Master'!$A$8:$A$47,0)),"")="Inactive",ROUND(N($P119),2)&gt;0),"Open balance with an inactive vendor. ","")))</f>
        <v/>
      </c>
      <c r="Y119" s="53" t="str">
        <f aca="false">IF($A119="","",IF(ROUND($P119,2)&gt;0.004,"Yes","No"))</f>
        <v/>
      </c>
      <c r="Z119" s="49" t="str">
        <f aca="false">IF(OR($Y119&lt;&gt;"Yes",$M119=""),"",COUNTIFS('Invoice &amp; Delivery Log'!$Y$8:$Y$157,"Yes",'Invoice &amp; Delivery Log'!$M$8:$M$157,"&lt;"&amp;$M119)+COUNTIFS('Invoice &amp; Delivery Log'!$Y$8:$Y$157,"Yes",'Invoice &amp; Delivery Log'!$M$8:$M$157,$M119,'Invoice &amp; Delivery Log'!$A$8:$A$157,"&lt;"&amp;$A119)+1)</f>
        <v/>
      </c>
    </row>
    <row r="120" customFormat="false" ht="15" hidden="false" customHeight="true" outlineLevel="0" collapsed="false">
      <c r="A120" s="44"/>
      <c r="B120" s="44"/>
      <c r="C120" s="55" t="str">
        <f aca="false">IF($B120="","",IFERROR(INDEX('Vendor Master'!$B$8:$B$47,MATCH($B120,'Vendor Master'!$A$8:$A$47,0)),"NOT FOUND"))</f>
        <v/>
      </c>
      <c r="D120" s="44"/>
      <c r="E120" s="45"/>
      <c r="F120" s="55" t="str">
        <f aca="false">IF($B120="","",IFERROR(INDEX('Vendor Master'!$C$8:$C$47,MATCH($B120,'Vendor Master'!$A$8:$A$47,0)),""))</f>
        <v/>
      </c>
      <c r="G120" s="45"/>
      <c r="H120" s="56"/>
      <c r="I120" s="56"/>
      <c r="J120" s="56"/>
      <c r="K120" s="44"/>
      <c r="L120" s="57" t="str">
        <f aca="false">IF($B120="","",IFERROR(INDEX('Vendor Master'!$G$8:$G$47,MATCH($B120,'Vendor Master'!$A$8:$A$47,0)),""))</f>
        <v/>
      </c>
      <c r="M120" s="37" t="str">
        <f aca="false">IF(OR($H120="",$L120=""),"",$H120+$L120)</f>
        <v/>
      </c>
      <c r="N120" s="58"/>
      <c r="O120" s="30" t="str">
        <f aca="false">IF($A120="","",SUMIFS('Payments Log'!$F$8:$F$207,'Payments Log'!$B$8:$B$207,$A120))</f>
        <v/>
      </c>
      <c r="P120" s="30" t="str">
        <f aca="false">IF($A120="","",ROUND($N120-$O120,2))</f>
        <v/>
      </c>
      <c r="Q120" s="36" t="str">
        <f aca="false">IF($A120="","",IF(N($N120)&lt;=0,"Check Amount",IF(ROUND($O120,2)&lt;=0,"Unpaid",IF(ROUND($O120-$N120,2)&gt;0,"Overpaid",IF(ROUND($P120,2)&lt;=0,"Paid","Partially Paid")))))</f>
        <v/>
      </c>
      <c r="R120" s="47" t="str">
        <f aca="false">IF(OR($A120="",$M120=""),"",IF(ROUND($P120,2)&lt;=0,0,MAX(0,Settings!$C$5-$M120-Settings!$C$7)))</f>
        <v/>
      </c>
      <c r="S120" s="30" t="str">
        <f aca="false">IF($A120="","",IF(N($R120)&gt;0,MAX($P120,0),0))</f>
        <v/>
      </c>
      <c r="T120" s="36" t="str">
        <f aca="false">IF($A120="","",IF(ROUND($P120,2)&lt;0,"Supplier Credit",IF(ROUND($P120,2)=0,"Closed",IF($M120="","No Due Date",IF(N($R120)&lt;=0,"Not Due Yet",IF(N($R120)&lt;=Settings!$C$8,"1-30 Days Overdue",IF(N($R120)&lt;=Settings!$C$9,"31-60 Days Overdue",IF(N($R120)&lt;=Settings!$C$10,"61-90 Days Overdue","90+ Days Overdue"))))))))</f>
        <v/>
      </c>
      <c r="U120" s="37" t="str">
        <f aca="false">IF($A120="","",IF(COUNTIFS('Payments Log'!$B$8:$B$207,$A120)=0,"",SUMPRODUCT(MAX(('Payments Log'!$B$8:$B$207=$A120)*'Payments Log'!$E$8:$E$207))))</f>
        <v/>
      </c>
      <c r="V120" s="36" t="str">
        <f aca="false">IF($A120="","",IF($J120="","Not Delivered",IF($I120="","No Target Date",IF($J120&lt;=$I120,"On Time","Late"))))</f>
        <v/>
      </c>
      <c r="W120" s="36" t="str">
        <f aca="false">IF($A120="","",IF($X120="","OK","REVIEW"))</f>
        <v/>
      </c>
      <c r="X120" s="28" t="str">
        <f aca="false">IF($A120="","",TRIM(IF($B120="","Missing vendor ID. ","")&amp;IF($C120="NOT FOUND","Vendor ID not in Vendor Master. ","")&amp;IF(COUNTIFS('Invoice &amp; Delivery Log'!$A$8:$A$157,$A120)&gt;1,"Duplicate invoice ID. ","")&amp;IF(AND($D120&lt;&gt;"",COUNTIFS('Invoice &amp; Delivery Log'!$D$8:$D$157,$D120,'Invoice &amp; Delivery Log'!$B$8:$B$157,$B120)&gt;1),"Duplicate supplier invoice number. ","")&amp;IF($E120="","Missing PO number. ","")&amp;IF($H120="","Missing invoice date. ","")&amp;IF(N($N120)&lt;=0,"Invoice amount must be greater than zero. ","")&amp;IF(AND($H120&lt;&gt;"",$H120&gt;Settings!$C$5),"Invoice date is in the future. ","")&amp;IF(AND($K120="Received in Full",$J120=""),"Missing actual delivery date. ","")&amp;IF(ROUND(N($O120)-N($N120),2)&gt;0,"Payments exceed the invoice amount. ","")&amp;IF(AND($K120="Rejected",N($O120)&gt;0),"Payment made on a rejected delivery. ","")&amp;IF(AND($B120&lt;&gt;"",IFERROR(INDEX('Vendor Master'!$H$8:$H$47,MATCH($B120,'Vendor Master'!$A$8:$A$47,0)),"")="Inactive",ROUND(N($P120),2)&gt;0),"Open balance with an inactive vendor. ","")))</f>
        <v/>
      </c>
      <c r="Y120" s="36" t="str">
        <f aca="false">IF($A120="","",IF(ROUND($P120,2)&gt;0.004,"Yes","No"))</f>
        <v/>
      </c>
      <c r="Z120" s="29" t="str">
        <f aca="false">IF(OR($Y120&lt;&gt;"Yes",$M120=""),"",COUNTIFS('Invoice &amp; Delivery Log'!$Y$8:$Y$157,"Yes",'Invoice &amp; Delivery Log'!$M$8:$M$157,"&lt;"&amp;$M120)+COUNTIFS('Invoice &amp; Delivery Log'!$Y$8:$Y$157,"Yes",'Invoice &amp; Delivery Log'!$M$8:$M$157,$M120,'Invoice &amp; Delivery Log'!$A$8:$A$157,"&lt;"&amp;$A120)+1)</f>
        <v/>
      </c>
    </row>
    <row r="121" customFormat="false" ht="15" hidden="false" customHeight="true" outlineLevel="0" collapsed="false">
      <c r="A121" s="44"/>
      <c r="B121" s="44"/>
      <c r="C121" s="59" t="str">
        <f aca="false">IF($B121="","",IFERROR(INDEX('Vendor Master'!$B$8:$B$47,MATCH($B121,'Vendor Master'!$A$8:$A$47,0)),"NOT FOUND"))</f>
        <v/>
      </c>
      <c r="D121" s="44"/>
      <c r="E121" s="45"/>
      <c r="F121" s="59" t="str">
        <f aca="false">IF($B121="","",IFERROR(INDEX('Vendor Master'!$C$8:$C$47,MATCH($B121,'Vendor Master'!$A$8:$A$47,0)),""))</f>
        <v/>
      </c>
      <c r="G121" s="45"/>
      <c r="H121" s="56"/>
      <c r="I121" s="56"/>
      <c r="J121" s="56"/>
      <c r="K121" s="44"/>
      <c r="L121" s="60" t="str">
        <f aca="false">IF($B121="","",IFERROR(INDEX('Vendor Master'!$G$8:$G$47,MATCH($B121,'Vendor Master'!$A$8:$A$47,0)),""))</f>
        <v/>
      </c>
      <c r="M121" s="61" t="str">
        <f aca="false">IF(OR($H121="",$L121=""),"",$H121+$L121)</f>
        <v/>
      </c>
      <c r="N121" s="58"/>
      <c r="O121" s="50" t="str">
        <f aca="false">IF($A121="","",SUMIFS('Payments Log'!$F$8:$F$207,'Payments Log'!$B$8:$B$207,$A121))</f>
        <v/>
      </c>
      <c r="P121" s="50" t="str">
        <f aca="false">IF($A121="","",ROUND($N121-$O121,2))</f>
        <v/>
      </c>
      <c r="Q121" s="53" t="str">
        <f aca="false">IF($A121="","",IF(N($N121)&lt;=0,"Check Amount",IF(ROUND($O121,2)&lt;=0,"Unpaid",IF(ROUND($O121-$N121,2)&gt;0,"Overpaid",IF(ROUND($P121,2)&lt;=0,"Paid","Partially Paid")))))</f>
        <v/>
      </c>
      <c r="R121" s="52" t="str">
        <f aca="false">IF(OR($A121="",$M121=""),"",IF(ROUND($P121,2)&lt;=0,0,MAX(0,Settings!$C$5-$M121-Settings!$C$7)))</f>
        <v/>
      </c>
      <c r="S121" s="50" t="str">
        <f aca="false">IF($A121="","",IF(N($R121)&gt;0,MAX($P121,0),0))</f>
        <v/>
      </c>
      <c r="T121" s="53" t="str">
        <f aca="false">IF($A121="","",IF(ROUND($P121,2)&lt;0,"Supplier Credit",IF(ROUND($P121,2)=0,"Closed",IF($M121="","No Due Date",IF(N($R121)&lt;=0,"Not Due Yet",IF(N($R121)&lt;=Settings!$C$8,"1-30 Days Overdue",IF(N($R121)&lt;=Settings!$C$9,"31-60 Days Overdue",IF(N($R121)&lt;=Settings!$C$10,"61-90 Days Overdue","90+ Days Overdue"))))))))</f>
        <v/>
      </c>
      <c r="U121" s="61" t="str">
        <f aca="false">IF($A121="","",IF(COUNTIFS('Payments Log'!$B$8:$B$207,$A121)=0,"",SUMPRODUCT(MAX(('Payments Log'!$B$8:$B$207=$A121)*'Payments Log'!$E$8:$E$207))))</f>
        <v/>
      </c>
      <c r="V121" s="53" t="str">
        <f aca="false">IF($A121="","",IF($J121="","Not Delivered",IF($I121="","No Target Date",IF($J121&lt;=$I121,"On Time","Late"))))</f>
        <v/>
      </c>
      <c r="W121" s="53" t="str">
        <f aca="false">IF($A121="","",IF($X121="","OK","REVIEW"))</f>
        <v/>
      </c>
      <c r="X121" s="62" t="str">
        <f aca="false">IF($A121="","",TRIM(IF($B121="","Missing vendor ID. ","")&amp;IF($C121="NOT FOUND","Vendor ID not in Vendor Master. ","")&amp;IF(COUNTIFS('Invoice &amp; Delivery Log'!$A$8:$A$157,$A121)&gt;1,"Duplicate invoice ID. ","")&amp;IF(AND($D121&lt;&gt;"",COUNTIFS('Invoice &amp; Delivery Log'!$D$8:$D$157,$D121,'Invoice &amp; Delivery Log'!$B$8:$B$157,$B121)&gt;1),"Duplicate supplier invoice number. ","")&amp;IF($E121="","Missing PO number. ","")&amp;IF($H121="","Missing invoice date. ","")&amp;IF(N($N121)&lt;=0,"Invoice amount must be greater than zero. ","")&amp;IF(AND($H121&lt;&gt;"",$H121&gt;Settings!$C$5),"Invoice date is in the future. ","")&amp;IF(AND($K121="Received in Full",$J121=""),"Missing actual delivery date. ","")&amp;IF(ROUND(N($O121)-N($N121),2)&gt;0,"Payments exceed the invoice amount. ","")&amp;IF(AND($K121="Rejected",N($O121)&gt;0),"Payment made on a rejected delivery. ","")&amp;IF(AND($B121&lt;&gt;"",IFERROR(INDEX('Vendor Master'!$H$8:$H$47,MATCH($B121,'Vendor Master'!$A$8:$A$47,0)),"")="Inactive",ROUND(N($P121),2)&gt;0),"Open balance with an inactive vendor. ","")))</f>
        <v/>
      </c>
      <c r="Y121" s="53" t="str">
        <f aca="false">IF($A121="","",IF(ROUND($P121,2)&gt;0.004,"Yes","No"))</f>
        <v/>
      </c>
      <c r="Z121" s="49" t="str">
        <f aca="false">IF(OR($Y121&lt;&gt;"Yes",$M121=""),"",COUNTIFS('Invoice &amp; Delivery Log'!$Y$8:$Y$157,"Yes",'Invoice &amp; Delivery Log'!$M$8:$M$157,"&lt;"&amp;$M121)+COUNTIFS('Invoice &amp; Delivery Log'!$Y$8:$Y$157,"Yes",'Invoice &amp; Delivery Log'!$M$8:$M$157,$M121,'Invoice &amp; Delivery Log'!$A$8:$A$157,"&lt;"&amp;$A121)+1)</f>
        <v/>
      </c>
    </row>
    <row r="122" customFormat="false" ht="15" hidden="false" customHeight="true" outlineLevel="0" collapsed="false">
      <c r="A122" s="44"/>
      <c r="B122" s="44"/>
      <c r="C122" s="55" t="str">
        <f aca="false">IF($B122="","",IFERROR(INDEX('Vendor Master'!$B$8:$B$47,MATCH($B122,'Vendor Master'!$A$8:$A$47,0)),"NOT FOUND"))</f>
        <v/>
      </c>
      <c r="D122" s="44"/>
      <c r="E122" s="45"/>
      <c r="F122" s="55" t="str">
        <f aca="false">IF($B122="","",IFERROR(INDEX('Vendor Master'!$C$8:$C$47,MATCH($B122,'Vendor Master'!$A$8:$A$47,0)),""))</f>
        <v/>
      </c>
      <c r="G122" s="45"/>
      <c r="H122" s="56"/>
      <c r="I122" s="56"/>
      <c r="J122" s="56"/>
      <c r="K122" s="44"/>
      <c r="L122" s="57" t="str">
        <f aca="false">IF($B122="","",IFERROR(INDEX('Vendor Master'!$G$8:$G$47,MATCH($B122,'Vendor Master'!$A$8:$A$47,0)),""))</f>
        <v/>
      </c>
      <c r="M122" s="37" t="str">
        <f aca="false">IF(OR($H122="",$L122=""),"",$H122+$L122)</f>
        <v/>
      </c>
      <c r="N122" s="58"/>
      <c r="O122" s="30" t="str">
        <f aca="false">IF($A122="","",SUMIFS('Payments Log'!$F$8:$F$207,'Payments Log'!$B$8:$B$207,$A122))</f>
        <v/>
      </c>
      <c r="P122" s="30" t="str">
        <f aca="false">IF($A122="","",ROUND($N122-$O122,2))</f>
        <v/>
      </c>
      <c r="Q122" s="36" t="str">
        <f aca="false">IF($A122="","",IF(N($N122)&lt;=0,"Check Amount",IF(ROUND($O122,2)&lt;=0,"Unpaid",IF(ROUND($O122-$N122,2)&gt;0,"Overpaid",IF(ROUND($P122,2)&lt;=0,"Paid","Partially Paid")))))</f>
        <v/>
      </c>
      <c r="R122" s="47" t="str">
        <f aca="false">IF(OR($A122="",$M122=""),"",IF(ROUND($P122,2)&lt;=0,0,MAX(0,Settings!$C$5-$M122-Settings!$C$7)))</f>
        <v/>
      </c>
      <c r="S122" s="30" t="str">
        <f aca="false">IF($A122="","",IF(N($R122)&gt;0,MAX($P122,0),0))</f>
        <v/>
      </c>
      <c r="T122" s="36" t="str">
        <f aca="false">IF($A122="","",IF(ROUND($P122,2)&lt;0,"Supplier Credit",IF(ROUND($P122,2)=0,"Closed",IF($M122="","No Due Date",IF(N($R122)&lt;=0,"Not Due Yet",IF(N($R122)&lt;=Settings!$C$8,"1-30 Days Overdue",IF(N($R122)&lt;=Settings!$C$9,"31-60 Days Overdue",IF(N($R122)&lt;=Settings!$C$10,"61-90 Days Overdue","90+ Days Overdue"))))))))</f>
        <v/>
      </c>
      <c r="U122" s="37" t="str">
        <f aca="false">IF($A122="","",IF(COUNTIFS('Payments Log'!$B$8:$B$207,$A122)=0,"",SUMPRODUCT(MAX(('Payments Log'!$B$8:$B$207=$A122)*'Payments Log'!$E$8:$E$207))))</f>
        <v/>
      </c>
      <c r="V122" s="36" t="str">
        <f aca="false">IF($A122="","",IF($J122="","Not Delivered",IF($I122="","No Target Date",IF($J122&lt;=$I122,"On Time","Late"))))</f>
        <v/>
      </c>
      <c r="W122" s="36" t="str">
        <f aca="false">IF($A122="","",IF($X122="","OK","REVIEW"))</f>
        <v/>
      </c>
      <c r="X122" s="28" t="str">
        <f aca="false">IF($A122="","",TRIM(IF($B122="","Missing vendor ID. ","")&amp;IF($C122="NOT FOUND","Vendor ID not in Vendor Master. ","")&amp;IF(COUNTIFS('Invoice &amp; Delivery Log'!$A$8:$A$157,$A122)&gt;1,"Duplicate invoice ID. ","")&amp;IF(AND($D122&lt;&gt;"",COUNTIFS('Invoice &amp; Delivery Log'!$D$8:$D$157,$D122,'Invoice &amp; Delivery Log'!$B$8:$B$157,$B122)&gt;1),"Duplicate supplier invoice number. ","")&amp;IF($E122="","Missing PO number. ","")&amp;IF($H122="","Missing invoice date. ","")&amp;IF(N($N122)&lt;=0,"Invoice amount must be greater than zero. ","")&amp;IF(AND($H122&lt;&gt;"",$H122&gt;Settings!$C$5),"Invoice date is in the future. ","")&amp;IF(AND($K122="Received in Full",$J122=""),"Missing actual delivery date. ","")&amp;IF(ROUND(N($O122)-N($N122),2)&gt;0,"Payments exceed the invoice amount. ","")&amp;IF(AND($K122="Rejected",N($O122)&gt;0),"Payment made on a rejected delivery. ","")&amp;IF(AND($B122&lt;&gt;"",IFERROR(INDEX('Vendor Master'!$H$8:$H$47,MATCH($B122,'Vendor Master'!$A$8:$A$47,0)),"")="Inactive",ROUND(N($P122),2)&gt;0),"Open balance with an inactive vendor. ","")))</f>
        <v/>
      </c>
      <c r="Y122" s="36" t="str">
        <f aca="false">IF($A122="","",IF(ROUND($P122,2)&gt;0.004,"Yes","No"))</f>
        <v/>
      </c>
      <c r="Z122" s="29" t="str">
        <f aca="false">IF(OR($Y122&lt;&gt;"Yes",$M122=""),"",COUNTIFS('Invoice &amp; Delivery Log'!$Y$8:$Y$157,"Yes",'Invoice &amp; Delivery Log'!$M$8:$M$157,"&lt;"&amp;$M122)+COUNTIFS('Invoice &amp; Delivery Log'!$Y$8:$Y$157,"Yes",'Invoice &amp; Delivery Log'!$M$8:$M$157,$M122,'Invoice &amp; Delivery Log'!$A$8:$A$157,"&lt;"&amp;$A122)+1)</f>
        <v/>
      </c>
    </row>
    <row r="123" customFormat="false" ht="15" hidden="false" customHeight="true" outlineLevel="0" collapsed="false">
      <c r="A123" s="44"/>
      <c r="B123" s="44"/>
      <c r="C123" s="59" t="str">
        <f aca="false">IF($B123="","",IFERROR(INDEX('Vendor Master'!$B$8:$B$47,MATCH($B123,'Vendor Master'!$A$8:$A$47,0)),"NOT FOUND"))</f>
        <v/>
      </c>
      <c r="D123" s="44"/>
      <c r="E123" s="45"/>
      <c r="F123" s="59" t="str">
        <f aca="false">IF($B123="","",IFERROR(INDEX('Vendor Master'!$C$8:$C$47,MATCH($B123,'Vendor Master'!$A$8:$A$47,0)),""))</f>
        <v/>
      </c>
      <c r="G123" s="45"/>
      <c r="H123" s="56"/>
      <c r="I123" s="56"/>
      <c r="J123" s="56"/>
      <c r="K123" s="44"/>
      <c r="L123" s="60" t="str">
        <f aca="false">IF($B123="","",IFERROR(INDEX('Vendor Master'!$G$8:$G$47,MATCH($B123,'Vendor Master'!$A$8:$A$47,0)),""))</f>
        <v/>
      </c>
      <c r="M123" s="61" t="str">
        <f aca="false">IF(OR($H123="",$L123=""),"",$H123+$L123)</f>
        <v/>
      </c>
      <c r="N123" s="58"/>
      <c r="O123" s="50" t="str">
        <f aca="false">IF($A123="","",SUMIFS('Payments Log'!$F$8:$F$207,'Payments Log'!$B$8:$B$207,$A123))</f>
        <v/>
      </c>
      <c r="P123" s="50" t="str">
        <f aca="false">IF($A123="","",ROUND($N123-$O123,2))</f>
        <v/>
      </c>
      <c r="Q123" s="53" t="str">
        <f aca="false">IF($A123="","",IF(N($N123)&lt;=0,"Check Amount",IF(ROUND($O123,2)&lt;=0,"Unpaid",IF(ROUND($O123-$N123,2)&gt;0,"Overpaid",IF(ROUND($P123,2)&lt;=0,"Paid","Partially Paid")))))</f>
        <v/>
      </c>
      <c r="R123" s="52" t="str">
        <f aca="false">IF(OR($A123="",$M123=""),"",IF(ROUND($P123,2)&lt;=0,0,MAX(0,Settings!$C$5-$M123-Settings!$C$7)))</f>
        <v/>
      </c>
      <c r="S123" s="50" t="str">
        <f aca="false">IF($A123="","",IF(N($R123)&gt;0,MAX($P123,0),0))</f>
        <v/>
      </c>
      <c r="T123" s="53" t="str">
        <f aca="false">IF($A123="","",IF(ROUND($P123,2)&lt;0,"Supplier Credit",IF(ROUND($P123,2)=0,"Closed",IF($M123="","No Due Date",IF(N($R123)&lt;=0,"Not Due Yet",IF(N($R123)&lt;=Settings!$C$8,"1-30 Days Overdue",IF(N($R123)&lt;=Settings!$C$9,"31-60 Days Overdue",IF(N($R123)&lt;=Settings!$C$10,"61-90 Days Overdue","90+ Days Overdue"))))))))</f>
        <v/>
      </c>
      <c r="U123" s="61" t="str">
        <f aca="false">IF($A123="","",IF(COUNTIFS('Payments Log'!$B$8:$B$207,$A123)=0,"",SUMPRODUCT(MAX(('Payments Log'!$B$8:$B$207=$A123)*'Payments Log'!$E$8:$E$207))))</f>
        <v/>
      </c>
      <c r="V123" s="53" t="str">
        <f aca="false">IF($A123="","",IF($J123="","Not Delivered",IF($I123="","No Target Date",IF($J123&lt;=$I123,"On Time","Late"))))</f>
        <v/>
      </c>
      <c r="W123" s="53" t="str">
        <f aca="false">IF($A123="","",IF($X123="","OK","REVIEW"))</f>
        <v/>
      </c>
      <c r="X123" s="62" t="str">
        <f aca="false">IF($A123="","",TRIM(IF($B123="","Missing vendor ID. ","")&amp;IF($C123="NOT FOUND","Vendor ID not in Vendor Master. ","")&amp;IF(COUNTIFS('Invoice &amp; Delivery Log'!$A$8:$A$157,$A123)&gt;1,"Duplicate invoice ID. ","")&amp;IF(AND($D123&lt;&gt;"",COUNTIFS('Invoice &amp; Delivery Log'!$D$8:$D$157,$D123,'Invoice &amp; Delivery Log'!$B$8:$B$157,$B123)&gt;1),"Duplicate supplier invoice number. ","")&amp;IF($E123="","Missing PO number. ","")&amp;IF($H123="","Missing invoice date. ","")&amp;IF(N($N123)&lt;=0,"Invoice amount must be greater than zero. ","")&amp;IF(AND($H123&lt;&gt;"",$H123&gt;Settings!$C$5),"Invoice date is in the future. ","")&amp;IF(AND($K123="Received in Full",$J123=""),"Missing actual delivery date. ","")&amp;IF(ROUND(N($O123)-N($N123),2)&gt;0,"Payments exceed the invoice amount. ","")&amp;IF(AND($K123="Rejected",N($O123)&gt;0),"Payment made on a rejected delivery. ","")&amp;IF(AND($B123&lt;&gt;"",IFERROR(INDEX('Vendor Master'!$H$8:$H$47,MATCH($B123,'Vendor Master'!$A$8:$A$47,0)),"")="Inactive",ROUND(N($P123),2)&gt;0),"Open balance with an inactive vendor. ","")))</f>
        <v/>
      </c>
      <c r="Y123" s="53" t="str">
        <f aca="false">IF($A123="","",IF(ROUND($P123,2)&gt;0.004,"Yes","No"))</f>
        <v/>
      </c>
      <c r="Z123" s="49" t="str">
        <f aca="false">IF(OR($Y123&lt;&gt;"Yes",$M123=""),"",COUNTIFS('Invoice &amp; Delivery Log'!$Y$8:$Y$157,"Yes",'Invoice &amp; Delivery Log'!$M$8:$M$157,"&lt;"&amp;$M123)+COUNTIFS('Invoice &amp; Delivery Log'!$Y$8:$Y$157,"Yes",'Invoice &amp; Delivery Log'!$M$8:$M$157,$M123,'Invoice &amp; Delivery Log'!$A$8:$A$157,"&lt;"&amp;$A123)+1)</f>
        <v/>
      </c>
    </row>
    <row r="124" customFormat="false" ht="15" hidden="false" customHeight="true" outlineLevel="0" collapsed="false">
      <c r="A124" s="44"/>
      <c r="B124" s="44"/>
      <c r="C124" s="55" t="str">
        <f aca="false">IF($B124="","",IFERROR(INDEX('Vendor Master'!$B$8:$B$47,MATCH($B124,'Vendor Master'!$A$8:$A$47,0)),"NOT FOUND"))</f>
        <v/>
      </c>
      <c r="D124" s="44"/>
      <c r="E124" s="45"/>
      <c r="F124" s="55" t="str">
        <f aca="false">IF($B124="","",IFERROR(INDEX('Vendor Master'!$C$8:$C$47,MATCH($B124,'Vendor Master'!$A$8:$A$47,0)),""))</f>
        <v/>
      </c>
      <c r="G124" s="45"/>
      <c r="H124" s="56"/>
      <c r="I124" s="56"/>
      <c r="J124" s="56"/>
      <c r="K124" s="44"/>
      <c r="L124" s="57" t="str">
        <f aca="false">IF($B124="","",IFERROR(INDEX('Vendor Master'!$G$8:$G$47,MATCH($B124,'Vendor Master'!$A$8:$A$47,0)),""))</f>
        <v/>
      </c>
      <c r="M124" s="37" t="str">
        <f aca="false">IF(OR($H124="",$L124=""),"",$H124+$L124)</f>
        <v/>
      </c>
      <c r="N124" s="58"/>
      <c r="O124" s="30" t="str">
        <f aca="false">IF($A124="","",SUMIFS('Payments Log'!$F$8:$F$207,'Payments Log'!$B$8:$B$207,$A124))</f>
        <v/>
      </c>
      <c r="P124" s="30" t="str">
        <f aca="false">IF($A124="","",ROUND($N124-$O124,2))</f>
        <v/>
      </c>
      <c r="Q124" s="36" t="str">
        <f aca="false">IF($A124="","",IF(N($N124)&lt;=0,"Check Amount",IF(ROUND($O124,2)&lt;=0,"Unpaid",IF(ROUND($O124-$N124,2)&gt;0,"Overpaid",IF(ROUND($P124,2)&lt;=0,"Paid","Partially Paid")))))</f>
        <v/>
      </c>
      <c r="R124" s="47" t="str">
        <f aca="false">IF(OR($A124="",$M124=""),"",IF(ROUND($P124,2)&lt;=0,0,MAX(0,Settings!$C$5-$M124-Settings!$C$7)))</f>
        <v/>
      </c>
      <c r="S124" s="30" t="str">
        <f aca="false">IF($A124="","",IF(N($R124)&gt;0,MAX($P124,0),0))</f>
        <v/>
      </c>
      <c r="T124" s="36" t="str">
        <f aca="false">IF($A124="","",IF(ROUND($P124,2)&lt;0,"Supplier Credit",IF(ROUND($P124,2)=0,"Closed",IF($M124="","No Due Date",IF(N($R124)&lt;=0,"Not Due Yet",IF(N($R124)&lt;=Settings!$C$8,"1-30 Days Overdue",IF(N($R124)&lt;=Settings!$C$9,"31-60 Days Overdue",IF(N($R124)&lt;=Settings!$C$10,"61-90 Days Overdue","90+ Days Overdue"))))))))</f>
        <v/>
      </c>
      <c r="U124" s="37" t="str">
        <f aca="false">IF($A124="","",IF(COUNTIFS('Payments Log'!$B$8:$B$207,$A124)=0,"",SUMPRODUCT(MAX(('Payments Log'!$B$8:$B$207=$A124)*'Payments Log'!$E$8:$E$207))))</f>
        <v/>
      </c>
      <c r="V124" s="36" t="str">
        <f aca="false">IF($A124="","",IF($J124="","Not Delivered",IF($I124="","No Target Date",IF($J124&lt;=$I124,"On Time","Late"))))</f>
        <v/>
      </c>
      <c r="W124" s="36" t="str">
        <f aca="false">IF($A124="","",IF($X124="","OK","REVIEW"))</f>
        <v/>
      </c>
      <c r="X124" s="28" t="str">
        <f aca="false">IF($A124="","",TRIM(IF($B124="","Missing vendor ID. ","")&amp;IF($C124="NOT FOUND","Vendor ID not in Vendor Master. ","")&amp;IF(COUNTIFS('Invoice &amp; Delivery Log'!$A$8:$A$157,$A124)&gt;1,"Duplicate invoice ID. ","")&amp;IF(AND($D124&lt;&gt;"",COUNTIFS('Invoice &amp; Delivery Log'!$D$8:$D$157,$D124,'Invoice &amp; Delivery Log'!$B$8:$B$157,$B124)&gt;1),"Duplicate supplier invoice number. ","")&amp;IF($E124="","Missing PO number. ","")&amp;IF($H124="","Missing invoice date. ","")&amp;IF(N($N124)&lt;=0,"Invoice amount must be greater than zero. ","")&amp;IF(AND($H124&lt;&gt;"",$H124&gt;Settings!$C$5),"Invoice date is in the future. ","")&amp;IF(AND($K124="Received in Full",$J124=""),"Missing actual delivery date. ","")&amp;IF(ROUND(N($O124)-N($N124),2)&gt;0,"Payments exceed the invoice amount. ","")&amp;IF(AND($K124="Rejected",N($O124)&gt;0),"Payment made on a rejected delivery. ","")&amp;IF(AND($B124&lt;&gt;"",IFERROR(INDEX('Vendor Master'!$H$8:$H$47,MATCH($B124,'Vendor Master'!$A$8:$A$47,0)),"")="Inactive",ROUND(N($P124),2)&gt;0),"Open balance with an inactive vendor. ","")))</f>
        <v/>
      </c>
      <c r="Y124" s="36" t="str">
        <f aca="false">IF($A124="","",IF(ROUND($P124,2)&gt;0.004,"Yes","No"))</f>
        <v/>
      </c>
      <c r="Z124" s="29" t="str">
        <f aca="false">IF(OR($Y124&lt;&gt;"Yes",$M124=""),"",COUNTIFS('Invoice &amp; Delivery Log'!$Y$8:$Y$157,"Yes",'Invoice &amp; Delivery Log'!$M$8:$M$157,"&lt;"&amp;$M124)+COUNTIFS('Invoice &amp; Delivery Log'!$Y$8:$Y$157,"Yes",'Invoice &amp; Delivery Log'!$M$8:$M$157,$M124,'Invoice &amp; Delivery Log'!$A$8:$A$157,"&lt;"&amp;$A124)+1)</f>
        <v/>
      </c>
    </row>
    <row r="125" customFormat="false" ht="15" hidden="false" customHeight="true" outlineLevel="0" collapsed="false">
      <c r="A125" s="44"/>
      <c r="B125" s="44"/>
      <c r="C125" s="59" t="str">
        <f aca="false">IF($B125="","",IFERROR(INDEX('Vendor Master'!$B$8:$B$47,MATCH($B125,'Vendor Master'!$A$8:$A$47,0)),"NOT FOUND"))</f>
        <v/>
      </c>
      <c r="D125" s="44"/>
      <c r="E125" s="45"/>
      <c r="F125" s="59" t="str">
        <f aca="false">IF($B125="","",IFERROR(INDEX('Vendor Master'!$C$8:$C$47,MATCH($B125,'Vendor Master'!$A$8:$A$47,0)),""))</f>
        <v/>
      </c>
      <c r="G125" s="45"/>
      <c r="H125" s="56"/>
      <c r="I125" s="56"/>
      <c r="J125" s="56"/>
      <c r="K125" s="44"/>
      <c r="L125" s="60" t="str">
        <f aca="false">IF($B125="","",IFERROR(INDEX('Vendor Master'!$G$8:$G$47,MATCH($B125,'Vendor Master'!$A$8:$A$47,0)),""))</f>
        <v/>
      </c>
      <c r="M125" s="61" t="str">
        <f aca="false">IF(OR($H125="",$L125=""),"",$H125+$L125)</f>
        <v/>
      </c>
      <c r="N125" s="58"/>
      <c r="O125" s="50" t="str">
        <f aca="false">IF($A125="","",SUMIFS('Payments Log'!$F$8:$F$207,'Payments Log'!$B$8:$B$207,$A125))</f>
        <v/>
      </c>
      <c r="P125" s="50" t="str">
        <f aca="false">IF($A125="","",ROUND($N125-$O125,2))</f>
        <v/>
      </c>
      <c r="Q125" s="53" t="str">
        <f aca="false">IF($A125="","",IF(N($N125)&lt;=0,"Check Amount",IF(ROUND($O125,2)&lt;=0,"Unpaid",IF(ROUND($O125-$N125,2)&gt;0,"Overpaid",IF(ROUND($P125,2)&lt;=0,"Paid","Partially Paid")))))</f>
        <v/>
      </c>
      <c r="R125" s="52" t="str">
        <f aca="false">IF(OR($A125="",$M125=""),"",IF(ROUND($P125,2)&lt;=0,0,MAX(0,Settings!$C$5-$M125-Settings!$C$7)))</f>
        <v/>
      </c>
      <c r="S125" s="50" t="str">
        <f aca="false">IF($A125="","",IF(N($R125)&gt;0,MAX($P125,0),0))</f>
        <v/>
      </c>
      <c r="T125" s="53" t="str">
        <f aca="false">IF($A125="","",IF(ROUND($P125,2)&lt;0,"Supplier Credit",IF(ROUND($P125,2)=0,"Closed",IF($M125="","No Due Date",IF(N($R125)&lt;=0,"Not Due Yet",IF(N($R125)&lt;=Settings!$C$8,"1-30 Days Overdue",IF(N($R125)&lt;=Settings!$C$9,"31-60 Days Overdue",IF(N($R125)&lt;=Settings!$C$10,"61-90 Days Overdue","90+ Days Overdue"))))))))</f>
        <v/>
      </c>
      <c r="U125" s="61" t="str">
        <f aca="false">IF($A125="","",IF(COUNTIFS('Payments Log'!$B$8:$B$207,$A125)=0,"",SUMPRODUCT(MAX(('Payments Log'!$B$8:$B$207=$A125)*'Payments Log'!$E$8:$E$207))))</f>
        <v/>
      </c>
      <c r="V125" s="53" t="str">
        <f aca="false">IF($A125="","",IF($J125="","Not Delivered",IF($I125="","No Target Date",IF($J125&lt;=$I125,"On Time","Late"))))</f>
        <v/>
      </c>
      <c r="W125" s="53" t="str">
        <f aca="false">IF($A125="","",IF($X125="","OK","REVIEW"))</f>
        <v/>
      </c>
      <c r="X125" s="62" t="str">
        <f aca="false">IF($A125="","",TRIM(IF($B125="","Missing vendor ID. ","")&amp;IF($C125="NOT FOUND","Vendor ID not in Vendor Master. ","")&amp;IF(COUNTIFS('Invoice &amp; Delivery Log'!$A$8:$A$157,$A125)&gt;1,"Duplicate invoice ID. ","")&amp;IF(AND($D125&lt;&gt;"",COUNTIFS('Invoice &amp; Delivery Log'!$D$8:$D$157,$D125,'Invoice &amp; Delivery Log'!$B$8:$B$157,$B125)&gt;1),"Duplicate supplier invoice number. ","")&amp;IF($E125="","Missing PO number. ","")&amp;IF($H125="","Missing invoice date. ","")&amp;IF(N($N125)&lt;=0,"Invoice amount must be greater than zero. ","")&amp;IF(AND($H125&lt;&gt;"",$H125&gt;Settings!$C$5),"Invoice date is in the future. ","")&amp;IF(AND($K125="Received in Full",$J125=""),"Missing actual delivery date. ","")&amp;IF(ROUND(N($O125)-N($N125),2)&gt;0,"Payments exceed the invoice amount. ","")&amp;IF(AND($K125="Rejected",N($O125)&gt;0),"Payment made on a rejected delivery. ","")&amp;IF(AND($B125&lt;&gt;"",IFERROR(INDEX('Vendor Master'!$H$8:$H$47,MATCH($B125,'Vendor Master'!$A$8:$A$47,0)),"")="Inactive",ROUND(N($P125),2)&gt;0),"Open balance with an inactive vendor. ","")))</f>
        <v/>
      </c>
      <c r="Y125" s="53" t="str">
        <f aca="false">IF($A125="","",IF(ROUND($P125,2)&gt;0.004,"Yes","No"))</f>
        <v/>
      </c>
      <c r="Z125" s="49" t="str">
        <f aca="false">IF(OR($Y125&lt;&gt;"Yes",$M125=""),"",COUNTIFS('Invoice &amp; Delivery Log'!$Y$8:$Y$157,"Yes",'Invoice &amp; Delivery Log'!$M$8:$M$157,"&lt;"&amp;$M125)+COUNTIFS('Invoice &amp; Delivery Log'!$Y$8:$Y$157,"Yes",'Invoice &amp; Delivery Log'!$M$8:$M$157,$M125,'Invoice &amp; Delivery Log'!$A$8:$A$157,"&lt;"&amp;$A125)+1)</f>
        <v/>
      </c>
    </row>
    <row r="126" customFormat="false" ht="15" hidden="false" customHeight="true" outlineLevel="0" collapsed="false">
      <c r="A126" s="44"/>
      <c r="B126" s="44"/>
      <c r="C126" s="55" t="str">
        <f aca="false">IF($B126="","",IFERROR(INDEX('Vendor Master'!$B$8:$B$47,MATCH($B126,'Vendor Master'!$A$8:$A$47,0)),"NOT FOUND"))</f>
        <v/>
      </c>
      <c r="D126" s="44"/>
      <c r="E126" s="45"/>
      <c r="F126" s="55" t="str">
        <f aca="false">IF($B126="","",IFERROR(INDEX('Vendor Master'!$C$8:$C$47,MATCH($B126,'Vendor Master'!$A$8:$A$47,0)),""))</f>
        <v/>
      </c>
      <c r="G126" s="45"/>
      <c r="H126" s="56"/>
      <c r="I126" s="56"/>
      <c r="J126" s="56"/>
      <c r="K126" s="44"/>
      <c r="L126" s="57" t="str">
        <f aca="false">IF($B126="","",IFERROR(INDEX('Vendor Master'!$G$8:$G$47,MATCH($B126,'Vendor Master'!$A$8:$A$47,0)),""))</f>
        <v/>
      </c>
      <c r="M126" s="37" t="str">
        <f aca="false">IF(OR($H126="",$L126=""),"",$H126+$L126)</f>
        <v/>
      </c>
      <c r="N126" s="58"/>
      <c r="O126" s="30" t="str">
        <f aca="false">IF($A126="","",SUMIFS('Payments Log'!$F$8:$F$207,'Payments Log'!$B$8:$B$207,$A126))</f>
        <v/>
      </c>
      <c r="P126" s="30" t="str">
        <f aca="false">IF($A126="","",ROUND($N126-$O126,2))</f>
        <v/>
      </c>
      <c r="Q126" s="36" t="str">
        <f aca="false">IF($A126="","",IF(N($N126)&lt;=0,"Check Amount",IF(ROUND($O126,2)&lt;=0,"Unpaid",IF(ROUND($O126-$N126,2)&gt;0,"Overpaid",IF(ROUND($P126,2)&lt;=0,"Paid","Partially Paid")))))</f>
        <v/>
      </c>
      <c r="R126" s="47" t="str">
        <f aca="false">IF(OR($A126="",$M126=""),"",IF(ROUND($P126,2)&lt;=0,0,MAX(0,Settings!$C$5-$M126-Settings!$C$7)))</f>
        <v/>
      </c>
      <c r="S126" s="30" t="str">
        <f aca="false">IF($A126="","",IF(N($R126)&gt;0,MAX($P126,0),0))</f>
        <v/>
      </c>
      <c r="T126" s="36" t="str">
        <f aca="false">IF($A126="","",IF(ROUND($P126,2)&lt;0,"Supplier Credit",IF(ROUND($P126,2)=0,"Closed",IF($M126="","No Due Date",IF(N($R126)&lt;=0,"Not Due Yet",IF(N($R126)&lt;=Settings!$C$8,"1-30 Days Overdue",IF(N($R126)&lt;=Settings!$C$9,"31-60 Days Overdue",IF(N($R126)&lt;=Settings!$C$10,"61-90 Days Overdue","90+ Days Overdue"))))))))</f>
        <v/>
      </c>
      <c r="U126" s="37" t="str">
        <f aca="false">IF($A126="","",IF(COUNTIFS('Payments Log'!$B$8:$B$207,$A126)=0,"",SUMPRODUCT(MAX(('Payments Log'!$B$8:$B$207=$A126)*'Payments Log'!$E$8:$E$207))))</f>
        <v/>
      </c>
      <c r="V126" s="36" t="str">
        <f aca="false">IF($A126="","",IF($J126="","Not Delivered",IF($I126="","No Target Date",IF($J126&lt;=$I126,"On Time","Late"))))</f>
        <v/>
      </c>
      <c r="W126" s="36" t="str">
        <f aca="false">IF($A126="","",IF($X126="","OK","REVIEW"))</f>
        <v/>
      </c>
      <c r="X126" s="28" t="str">
        <f aca="false">IF($A126="","",TRIM(IF($B126="","Missing vendor ID. ","")&amp;IF($C126="NOT FOUND","Vendor ID not in Vendor Master. ","")&amp;IF(COUNTIFS('Invoice &amp; Delivery Log'!$A$8:$A$157,$A126)&gt;1,"Duplicate invoice ID. ","")&amp;IF(AND($D126&lt;&gt;"",COUNTIFS('Invoice &amp; Delivery Log'!$D$8:$D$157,$D126,'Invoice &amp; Delivery Log'!$B$8:$B$157,$B126)&gt;1),"Duplicate supplier invoice number. ","")&amp;IF($E126="","Missing PO number. ","")&amp;IF($H126="","Missing invoice date. ","")&amp;IF(N($N126)&lt;=0,"Invoice amount must be greater than zero. ","")&amp;IF(AND($H126&lt;&gt;"",$H126&gt;Settings!$C$5),"Invoice date is in the future. ","")&amp;IF(AND($K126="Received in Full",$J126=""),"Missing actual delivery date. ","")&amp;IF(ROUND(N($O126)-N($N126),2)&gt;0,"Payments exceed the invoice amount. ","")&amp;IF(AND($K126="Rejected",N($O126)&gt;0),"Payment made on a rejected delivery. ","")&amp;IF(AND($B126&lt;&gt;"",IFERROR(INDEX('Vendor Master'!$H$8:$H$47,MATCH($B126,'Vendor Master'!$A$8:$A$47,0)),"")="Inactive",ROUND(N($P126),2)&gt;0),"Open balance with an inactive vendor. ","")))</f>
        <v/>
      </c>
      <c r="Y126" s="36" t="str">
        <f aca="false">IF($A126="","",IF(ROUND($P126,2)&gt;0.004,"Yes","No"))</f>
        <v/>
      </c>
      <c r="Z126" s="29" t="str">
        <f aca="false">IF(OR($Y126&lt;&gt;"Yes",$M126=""),"",COUNTIFS('Invoice &amp; Delivery Log'!$Y$8:$Y$157,"Yes",'Invoice &amp; Delivery Log'!$M$8:$M$157,"&lt;"&amp;$M126)+COUNTIFS('Invoice &amp; Delivery Log'!$Y$8:$Y$157,"Yes",'Invoice &amp; Delivery Log'!$M$8:$M$157,$M126,'Invoice &amp; Delivery Log'!$A$8:$A$157,"&lt;"&amp;$A126)+1)</f>
        <v/>
      </c>
    </row>
    <row r="127" customFormat="false" ht="15" hidden="false" customHeight="true" outlineLevel="0" collapsed="false">
      <c r="A127" s="44"/>
      <c r="B127" s="44"/>
      <c r="C127" s="59" t="str">
        <f aca="false">IF($B127="","",IFERROR(INDEX('Vendor Master'!$B$8:$B$47,MATCH($B127,'Vendor Master'!$A$8:$A$47,0)),"NOT FOUND"))</f>
        <v/>
      </c>
      <c r="D127" s="44"/>
      <c r="E127" s="45"/>
      <c r="F127" s="59" t="str">
        <f aca="false">IF($B127="","",IFERROR(INDEX('Vendor Master'!$C$8:$C$47,MATCH($B127,'Vendor Master'!$A$8:$A$47,0)),""))</f>
        <v/>
      </c>
      <c r="G127" s="45"/>
      <c r="H127" s="56"/>
      <c r="I127" s="56"/>
      <c r="J127" s="56"/>
      <c r="K127" s="44"/>
      <c r="L127" s="60" t="str">
        <f aca="false">IF($B127="","",IFERROR(INDEX('Vendor Master'!$G$8:$G$47,MATCH($B127,'Vendor Master'!$A$8:$A$47,0)),""))</f>
        <v/>
      </c>
      <c r="M127" s="61" t="str">
        <f aca="false">IF(OR($H127="",$L127=""),"",$H127+$L127)</f>
        <v/>
      </c>
      <c r="N127" s="58"/>
      <c r="O127" s="50" t="str">
        <f aca="false">IF($A127="","",SUMIFS('Payments Log'!$F$8:$F$207,'Payments Log'!$B$8:$B$207,$A127))</f>
        <v/>
      </c>
      <c r="P127" s="50" t="str">
        <f aca="false">IF($A127="","",ROUND($N127-$O127,2))</f>
        <v/>
      </c>
      <c r="Q127" s="53" t="str">
        <f aca="false">IF($A127="","",IF(N($N127)&lt;=0,"Check Amount",IF(ROUND($O127,2)&lt;=0,"Unpaid",IF(ROUND($O127-$N127,2)&gt;0,"Overpaid",IF(ROUND($P127,2)&lt;=0,"Paid","Partially Paid")))))</f>
        <v/>
      </c>
      <c r="R127" s="52" t="str">
        <f aca="false">IF(OR($A127="",$M127=""),"",IF(ROUND($P127,2)&lt;=0,0,MAX(0,Settings!$C$5-$M127-Settings!$C$7)))</f>
        <v/>
      </c>
      <c r="S127" s="50" t="str">
        <f aca="false">IF($A127="","",IF(N($R127)&gt;0,MAX($P127,0),0))</f>
        <v/>
      </c>
      <c r="T127" s="53" t="str">
        <f aca="false">IF($A127="","",IF(ROUND($P127,2)&lt;0,"Supplier Credit",IF(ROUND($P127,2)=0,"Closed",IF($M127="","No Due Date",IF(N($R127)&lt;=0,"Not Due Yet",IF(N($R127)&lt;=Settings!$C$8,"1-30 Days Overdue",IF(N($R127)&lt;=Settings!$C$9,"31-60 Days Overdue",IF(N($R127)&lt;=Settings!$C$10,"61-90 Days Overdue","90+ Days Overdue"))))))))</f>
        <v/>
      </c>
      <c r="U127" s="61" t="str">
        <f aca="false">IF($A127="","",IF(COUNTIFS('Payments Log'!$B$8:$B$207,$A127)=0,"",SUMPRODUCT(MAX(('Payments Log'!$B$8:$B$207=$A127)*'Payments Log'!$E$8:$E$207))))</f>
        <v/>
      </c>
      <c r="V127" s="53" t="str">
        <f aca="false">IF($A127="","",IF($J127="","Not Delivered",IF($I127="","No Target Date",IF($J127&lt;=$I127,"On Time","Late"))))</f>
        <v/>
      </c>
      <c r="W127" s="53" t="str">
        <f aca="false">IF($A127="","",IF($X127="","OK","REVIEW"))</f>
        <v/>
      </c>
      <c r="X127" s="62" t="str">
        <f aca="false">IF($A127="","",TRIM(IF($B127="","Missing vendor ID. ","")&amp;IF($C127="NOT FOUND","Vendor ID not in Vendor Master. ","")&amp;IF(COUNTIFS('Invoice &amp; Delivery Log'!$A$8:$A$157,$A127)&gt;1,"Duplicate invoice ID. ","")&amp;IF(AND($D127&lt;&gt;"",COUNTIFS('Invoice &amp; Delivery Log'!$D$8:$D$157,$D127,'Invoice &amp; Delivery Log'!$B$8:$B$157,$B127)&gt;1),"Duplicate supplier invoice number. ","")&amp;IF($E127="","Missing PO number. ","")&amp;IF($H127="","Missing invoice date. ","")&amp;IF(N($N127)&lt;=0,"Invoice amount must be greater than zero. ","")&amp;IF(AND($H127&lt;&gt;"",$H127&gt;Settings!$C$5),"Invoice date is in the future. ","")&amp;IF(AND($K127="Received in Full",$J127=""),"Missing actual delivery date. ","")&amp;IF(ROUND(N($O127)-N($N127),2)&gt;0,"Payments exceed the invoice amount. ","")&amp;IF(AND($K127="Rejected",N($O127)&gt;0),"Payment made on a rejected delivery. ","")&amp;IF(AND($B127&lt;&gt;"",IFERROR(INDEX('Vendor Master'!$H$8:$H$47,MATCH($B127,'Vendor Master'!$A$8:$A$47,0)),"")="Inactive",ROUND(N($P127),2)&gt;0),"Open balance with an inactive vendor. ","")))</f>
        <v/>
      </c>
      <c r="Y127" s="53" t="str">
        <f aca="false">IF($A127="","",IF(ROUND($P127,2)&gt;0.004,"Yes","No"))</f>
        <v/>
      </c>
      <c r="Z127" s="49" t="str">
        <f aca="false">IF(OR($Y127&lt;&gt;"Yes",$M127=""),"",COUNTIFS('Invoice &amp; Delivery Log'!$Y$8:$Y$157,"Yes",'Invoice &amp; Delivery Log'!$M$8:$M$157,"&lt;"&amp;$M127)+COUNTIFS('Invoice &amp; Delivery Log'!$Y$8:$Y$157,"Yes",'Invoice &amp; Delivery Log'!$M$8:$M$157,$M127,'Invoice &amp; Delivery Log'!$A$8:$A$157,"&lt;"&amp;$A127)+1)</f>
        <v/>
      </c>
    </row>
    <row r="128" customFormat="false" ht="15" hidden="false" customHeight="true" outlineLevel="0" collapsed="false">
      <c r="A128" s="44"/>
      <c r="B128" s="44"/>
      <c r="C128" s="55" t="str">
        <f aca="false">IF($B128="","",IFERROR(INDEX('Vendor Master'!$B$8:$B$47,MATCH($B128,'Vendor Master'!$A$8:$A$47,0)),"NOT FOUND"))</f>
        <v/>
      </c>
      <c r="D128" s="44"/>
      <c r="E128" s="45"/>
      <c r="F128" s="55" t="str">
        <f aca="false">IF($B128="","",IFERROR(INDEX('Vendor Master'!$C$8:$C$47,MATCH($B128,'Vendor Master'!$A$8:$A$47,0)),""))</f>
        <v/>
      </c>
      <c r="G128" s="45"/>
      <c r="H128" s="56"/>
      <c r="I128" s="56"/>
      <c r="J128" s="56"/>
      <c r="K128" s="44"/>
      <c r="L128" s="57" t="str">
        <f aca="false">IF($B128="","",IFERROR(INDEX('Vendor Master'!$G$8:$G$47,MATCH($B128,'Vendor Master'!$A$8:$A$47,0)),""))</f>
        <v/>
      </c>
      <c r="M128" s="37" t="str">
        <f aca="false">IF(OR($H128="",$L128=""),"",$H128+$L128)</f>
        <v/>
      </c>
      <c r="N128" s="58"/>
      <c r="O128" s="30" t="str">
        <f aca="false">IF($A128="","",SUMIFS('Payments Log'!$F$8:$F$207,'Payments Log'!$B$8:$B$207,$A128))</f>
        <v/>
      </c>
      <c r="P128" s="30" t="str">
        <f aca="false">IF($A128="","",ROUND($N128-$O128,2))</f>
        <v/>
      </c>
      <c r="Q128" s="36" t="str">
        <f aca="false">IF($A128="","",IF(N($N128)&lt;=0,"Check Amount",IF(ROUND($O128,2)&lt;=0,"Unpaid",IF(ROUND($O128-$N128,2)&gt;0,"Overpaid",IF(ROUND($P128,2)&lt;=0,"Paid","Partially Paid")))))</f>
        <v/>
      </c>
      <c r="R128" s="47" t="str">
        <f aca="false">IF(OR($A128="",$M128=""),"",IF(ROUND($P128,2)&lt;=0,0,MAX(0,Settings!$C$5-$M128-Settings!$C$7)))</f>
        <v/>
      </c>
      <c r="S128" s="30" t="str">
        <f aca="false">IF($A128="","",IF(N($R128)&gt;0,MAX($P128,0),0))</f>
        <v/>
      </c>
      <c r="T128" s="36" t="str">
        <f aca="false">IF($A128="","",IF(ROUND($P128,2)&lt;0,"Supplier Credit",IF(ROUND($P128,2)=0,"Closed",IF($M128="","No Due Date",IF(N($R128)&lt;=0,"Not Due Yet",IF(N($R128)&lt;=Settings!$C$8,"1-30 Days Overdue",IF(N($R128)&lt;=Settings!$C$9,"31-60 Days Overdue",IF(N($R128)&lt;=Settings!$C$10,"61-90 Days Overdue","90+ Days Overdue"))))))))</f>
        <v/>
      </c>
      <c r="U128" s="37" t="str">
        <f aca="false">IF($A128="","",IF(COUNTIFS('Payments Log'!$B$8:$B$207,$A128)=0,"",SUMPRODUCT(MAX(('Payments Log'!$B$8:$B$207=$A128)*'Payments Log'!$E$8:$E$207))))</f>
        <v/>
      </c>
      <c r="V128" s="36" t="str">
        <f aca="false">IF($A128="","",IF($J128="","Not Delivered",IF($I128="","No Target Date",IF($J128&lt;=$I128,"On Time","Late"))))</f>
        <v/>
      </c>
      <c r="W128" s="36" t="str">
        <f aca="false">IF($A128="","",IF($X128="","OK","REVIEW"))</f>
        <v/>
      </c>
      <c r="X128" s="28" t="str">
        <f aca="false">IF($A128="","",TRIM(IF($B128="","Missing vendor ID. ","")&amp;IF($C128="NOT FOUND","Vendor ID not in Vendor Master. ","")&amp;IF(COUNTIFS('Invoice &amp; Delivery Log'!$A$8:$A$157,$A128)&gt;1,"Duplicate invoice ID. ","")&amp;IF(AND($D128&lt;&gt;"",COUNTIFS('Invoice &amp; Delivery Log'!$D$8:$D$157,$D128,'Invoice &amp; Delivery Log'!$B$8:$B$157,$B128)&gt;1),"Duplicate supplier invoice number. ","")&amp;IF($E128="","Missing PO number. ","")&amp;IF($H128="","Missing invoice date. ","")&amp;IF(N($N128)&lt;=0,"Invoice amount must be greater than zero. ","")&amp;IF(AND($H128&lt;&gt;"",$H128&gt;Settings!$C$5),"Invoice date is in the future. ","")&amp;IF(AND($K128="Received in Full",$J128=""),"Missing actual delivery date. ","")&amp;IF(ROUND(N($O128)-N($N128),2)&gt;0,"Payments exceed the invoice amount. ","")&amp;IF(AND($K128="Rejected",N($O128)&gt;0),"Payment made on a rejected delivery. ","")&amp;IF(AND($B128&lt;&gt;"",IFERROR(INDEX('Vendor Master'!$H$8:$H$47,MATCH($B128,'Vendor Master'!$A$8:$A$47,0)),"")="Inactive",ROUND(N($P128),2)&gt;0),"Open balance with an inactive vendor. ","")))</f>
        <v/>
      </c>
      <c r="Y128" s="36" t="str">
        <f aca="false">IF($A128="","",IF(ROUND($P128,2)&gt;0.004,"Yes","No"))</f>
        <v/>
      </c>
      <c r="Z128" s="29" t="str">
        <f aca="false">IF(OR($Y128&lt;&gt;"Yes",$M128=""),"",COUNTIFS('Invoice &amp; Delivery Log'!$Y$8:$Y$157,"Yes",'Invoice &amp; Delivery Log'!$M$8:$M$157,"&lt;"&amp;$M128)+COUNTIFS('Invoice &amp; Delivery Log'!$Y$8:$Y$157,"Yes",'Invoice &amp; Delivery Log'!$M$8:$M$157,$M128,'Invoice &amp; Delivery Log'!$A$8:$A$157,"&lt;"&amp;$A128)+1)</f>
        <v/>
      </c>
    </row>
    <row r="129" customFormat="false" ht="15" hidden="false" customHeight="true" outlineLevel="0" collapsed="false">
      <c r="A129" s="44"/>
      <c r="B129" s="44"/>
      <c r="C129" s="59" t="str">
        <f aca="false">IF($B129="","",IFERROR(INDEX('Vendor Master'!$B$8:$B$47,MATCH($B129,'Vendor Master'!$A$8:$A$47,0)),"NOT FOUND"))</f>
        <v/>
      </c>
      <c r="D129" s="44"/>
      <c r="E129" s="45"/>
      <c r="F129" s="59" t="str">
        <f aca="false">IF($B129="","",IFERROR(INDEX('Vendor Master'!$C$8:$C$47,MATCH($B129,'Vendor Master'!$A$8:$A$47,0)),""))</f>
        <v/>
      </c>
      <c r="G129" s="45"/>
      <c r="H129" s="56"/>
      <c r="I129" s="56"/>
      <c r="J129" s="56"/>
      <c r="K129" s="44"/>
      <c r="L129" s="60" t="str">
        <f aca="false">IF($B129="","",IFERROR(INDEX('Vendor Master'!$G$8:$G$47,MATCH($B129,'Vendor Master'!$A$8:$A$47,0)),""))</f>
        <v/>
      </c>
      <c r="M129" s="61" t="str">
        <f aca="false">IF(OR($H129="",$L129=""),"",$H129+$L129)</f>
        <v/>
      </c>
      <c r="N129" s="58"/>
      <c r="O129" s="50" t="str">
        <f aca="false">IF($A129="","",SUMIFS('Payments Log'!$F$8:$F$207,'Payments Log'!$B$8:$B$207,$A129))</f>
        <v/>
      </c>
      <c r="P129" s="50" t="str">
        <f aca="false">IF($A129="","",ROUND($N129-$O129,2))</f>
        <v/>
      </c>
      <c r="Q129" s="53" t="str">
        <f aca="false">IF($A129="","",IF(N($N129)&lt;=0,"Check Amount",IF(ROUND($O129,2)&lt;=0,"Unpaid",IF(ROUND($O129-$N129,2)&gt;0,"Overpaid",IF(ROUND($P129,2)&lt;=0,"Paid","Partially Paid")))))</f>
        <v/>
      </c>
      <c r="R129" s="52" t="str">
        <f aca="false">IF(OR($A129="",$M129=""),"",IF(ROUND($P129,2)&lt;=0,0,MAX(0,Settings!$C$5-$M129-Settings!$C$7)))</f>
        <v/>
      </c>
      <c r="S129" s="50" t="str">
        <f aca="false">IF($A129="","",IF(N($R129)&gt;0,MAX($P129,0),0))</f>
        <v/>
      </c>
      <c r="T129" s="53" t="str">
        <f aca="false">IF($A129="","",IF(ROUND($P129,2)&lt;0,"Supplier Credit",IF(ROUND($P129,2)=0,"Closed",IF($M129="","No Due Date",IF(N($R129)&lt;=0,"Not Due Yet",IF(N($R129)&lt;=Settings!$C$8,"1-30 Days Overdue",IF(N($R129)&lt;=Settings!$C$9,"31-60 Days Overdue",IF(N($R129)&lt;=Settings!$C$10,"61-90 Days Overdue","90+ Days Overdue"))))))))</f>
        <v/>
      </c>
      <c r="U129" s="61" t="str">
        <f aca="false">IF($A129="","",IF(COUNTIFS('Payments Log'!$B$8:$B$207,$A129)=0,"",SUMPRODUCT(MAX(('Payments Log'!$B$8:$B$207=$A129)*'Payments Log'!$E$8:$E$207))))</f>
        <v/>
      </c>
      <c r="V129" s="53" t="str">
        <f aca="false">IF($A129="","",IF($J129="","Not Delivered",IF($I129="","No Target Date",IF($J129&lt;=$I129,"On Time","Late"))))</f>
        <v/>
      </c>
      <c r="W129" s="53" t="str">
        <f aca="false">IF($A129="","",IF($X129="","OK","REVIEW"))</f>
        <v/>
      </c>
      <c r="X129" s="62" t="str">
        <f aca="false">IF($A129="","",TRIM(IF($B129="","Missing vendor ID. ","")&amp;IF($C129="NOT FOUND","Vendor ID not in Vendor Master. ","")&amp;IF(COUNTIFS('Invoice &amp; Delivery Log'!$A$8:$A$157,$A129)&gt;1,"Duplicate invoice ID. ","")&amp;IF(AND($D129&lt;&gt;"",COUNTIFS('Invoice &amp; Delivery Log'!$D$8:$D$157,$D129,'Invoice &amp; Delivery Log'!$B$8:$B$157,$B129)&gt;1),"Duplicate supplier invoice number. ","")&amp;IF($E129="","Missing PO number. ","")&amp;IF($H129="","Missing invoice date. ","")&amp;IF(N($N129)&lt;=0,"Invoice amount must be greater than zero. ","")&amp;IF(AND($H129&lt;&gt;"",$H129&gt;Settings!$C$5),"Invoice date is in the future. ","")&amp;IF(AND($K129="Received in Full",$J129=""),"Missing actual delivery date. ","")&amp;IF(ROUND(N($O129)-N($N129),2)&gt;0,"Payments exceed the invoice amount. ","")&amp;IF(AND($K129="Rejected",N($O129)&gt;0),"Payment made on a rejected delivery. ","")&amp;IF(AND($B129&lt;&gt;"",IFERROR(INDEX('Vendor Master'!$H$8:$H$47,MATCH($B129,'Vendor Master'!$A$8:$A$47,0)),"")="Inactive",ROUND(N($P129),2)&gt;0),"Open balance with an inactive vendor. ","")))</f>
        <v/>
      </c>
      <c r="Y129" s="53" t="str">
        <f aca="false">IF($A129="","",IF(ROUND($P129,2)&gt;0.004,"Yes","No"))</f>
        <v/>
      </c>
      <c r="Z129" s="49" t="str">
        <f aca="false">IF(OR($Y129&lt;&gt;"Yes",$M129=""),"",COUNTIFS('Invoice &amp; Delivery Log'!$Y$8:$Y$157,"Yes",'Invoice &amp; Delivery Log'!$M$8:$M$157,"&lt;"&amp;$M129)+COUNTIFS('Invoice &amp; Delivery Log'!$Y$8:$Y$157,"Yes",'Invoice &amp; Delivery Log'!$M$8:$M$157,$M129,'Invoice &amp; Delivery Log'!$A$8:$A$157,"&lt;"&amp;$A129)+1)</f>
        <v/>
      </c>
    </row>
    <row r="130" customFormat="false" ht="15" hidden="false" customHeight="true" outlineLevel="0" collapsed="false">
      <c r="A130" s="44"/>
      <c r="B130" s="44"/>
      <c r="C130" s="55" t="str">
        <f aca="false">IF($B130="","",IFERROR(INDEX('Vendor Master'!$B$8:$B$47,MATCH($B130,'Vendor Master'!$A$8:$A$47,0)),"NOT FOUND"))</f>
        <v/>
      </c>
      <c r="D130" s="44"/>
      <c r="E130" s="45"/>
      <c r="F130" s="55" t="str">
        <f aca="false">IF($B130="","",IFERROR(INDEX('Vendor Master'!$C$8:$C$47,MATCH($B130,'Vendor Master'!$A$8:$A$47,0)),""))</f>
        <v/>
      </c>
      <c r="G130" s="45"/>
      <c r="H130" s="56"/>
      <c r="I130" s="56"/>
      <c r="J130" s="56"/>
      <c r="K130" s="44"/>
      <c r="L130" s="57" t="str">
        <f aca="false">IF($B130="","",IFERROR(INDEX('Vendor Master'!$G$8:$G$47,MATCH($B130,'Vendor Master'!$A$8:$A$47,0)),""))</f>
        <v/>
      </c>
      <c r="M130" s="37" t="str">
        <f aca="false">IF(OR($H130="",$L130=""),"",$H130+$L130)</f>
        <v/>
      </c>
      <c r="N130" s="58"/>
      <c r="O130" s="30" t="str">
        <f aca="false">IF($A130="","",SUMIFS('Payments Log'!$F$8:$F$207,'Payments Log'!$B$8:$B$207,$A130))</f>
        <v/>
      </c>
      <c r="P130" s="30" t="str">
        <f aca="false">IF($A130="","",ROUND($N130-$O130,2))</f>
        <v/>
      </c>
      <c r="Q130" s="36" t="str">
        <f aca="false">IF($A130="","",IF(N($N130)&lt;=0,"Check Amount",IF(ROUND($O130,2)&lt;=0,"Unpaid",IF(ROUND($O130-$N130,2)&gt;0,"Overpaid",IF(ROUND($P130,2)&lt;=0,"Paid","Partially Paid")))))</f>
        <v/>
      </c>
      <c r="R130" s="47" t="str">
        <f aca="false">IF(OR($A130="",$M130=""),"",IF(ROUND($P130,2)&lt;=0,0,MAX(0,Settings!$C$5-$M130-Settings!$C$7)))</f>
        <v/>
      </c>
      <c r="S130" s="30" t="str">
        <f aca="false">IF($A130="","",IF(N($R130)&gt;0,MAX($P130,0),0))</f>
        <v/>
      </c>
      <c r="T130" s="36" t="str">
        <f aca="false">IF($A130="","",IF(ROUND($P130,2)&lt;0,"Supplier Credit",IF(ROUND($P130,2)=0,"Closed",IF($M130="","No Due Date",IF(N($R130)&lt;=0,"Not Due Yet",IF(N($R130)&lt;=Settings!$C$8,"1-30 Days Overdue",IF(N($R130)&lt;=Settings!$C$9,"31-60 Days Overdue",IF(N($R130)&lt;=Settings!$C$10,"61-90 Days Overdue","90+ Days Overdue"))))))))</f>
        <v/>
      </c>
      <c r="U130" s="37" t="str">
        <f aca="false">IF($A130="","",IF(COUNTIFS('Payments Log'!$B$8:$B$207,$A130)=0,"",SUMPRODUCT(MAX(('Payments Log'!$B$8:$B$207=$A130)*'Payments Log'!$E$8:$E$207))))</f>
        <v/>
      </c>
      <c r="V130" s="36" t="str">
        <f aca="false">IF($A130="","",IF($J130="","Not Delivered",IF($I130="","No Target Date",IF($J130&lt;=$I130,"On Time","Late"))))</f>
        <v/>
      </c>
      <c r="W130" s="36" t="str">
        <f aca="false">IF($A130="","",IF($X130="","OK","REVIEW"))</f>
        <v/>
      </c>
      <c r="X130" s="28" t="str">
        <f aca="false">IF($A130="","",TRIM(IF($B130="","Missing vendor ID. ","")&amp;IF($C130="NOT FOUND","Vendor ID not in Vendor Master. ","")&amp;IF(COUNTIFS('Invoice &amp; Delivery Log'!$A$8:$A$157,$A130)&gt;1,"Duplicate invoice ID. ","")&amp;IF(AND($D130&lt;&gt;"",COUNTIFS('Invoice &amp; Delivery Log'!$D$8:$D$157,$D130,'Invoice &amp; Delivery Log'!$B$8:$B$157,$B130)&gt;1),"Duplicate supplier invoice number. ","")&amp;IF($E130="","Missing PO number. ","")&amp;IF($H130="","Missing invoice date. ","")&amp;IF(N($N130)&lt;=0,"Invoice amount must be greater than zero. ","")&amp;IF(AND($H130&lt;&gt;"",$H130&gt;Settings!$C$5),"Invoice date is in the future. ","")&amp;IF(AND($K130="Received in Full",$J130=""),"Missing actual delivery date. ","")&amp;IF(ROUND(N($O130)-N($N130),2)&gt;0,"Payments exceed the invoice amount. ","")&amp;IF(AND($K130="Rejected",N($O130)&gt;0),"Payment made on a rejected delivery. ","")&amp;IF(AND($B130&lt;&gt;"",IFERROR(INDEX('Vendor Master'!$H$8:$H$47,MATCH($B130,'Vendor Master'!$A$8:$A$47,0)),"")="Inactive",ROUND(N($P130),2)&gt;0),"Open balance with an inactive vendor. ","")))</f>
        <v/>
      </c>
      <c r="Y130" s="36" t="str">
        <f aca="false">IF($A130="","",IF(ROUND($P130,2)&gt;0.004,"Yes","No"))</f>
        <v/>
      </c>
      <c r="Z130" s="29" t="str">
        <f aca="false">IF(OR($Y130&lt;&gt;"Yes",$M130=""),"",COUNTIFS('Invoice &amp; Delivery Log'!$Y$8:$Y$157,"Yes",'Invoice &amp; Delivery Log'!$M$8:$M$157,"&lt;"&amp;$M130)+COUNTIFS('Invoice &amp; Delivery Log'!$Y$8:$Y$157,"Yes",'Invoice &amp; Delivery Log'!$M$8:$M$157,$M130,'Invoice &amp; Delivery Log'!$A$8:$A$157,"&lt;"&amp;$A130)+1)</f>
        <v/>
      </c>
    </row>
    <row r="131" customFormat="false" ht="15" hidden="false" customHeight="true" outlineLevel="0" collapsed="false">
      <c r="A131" s="44"/>
      <c r="B131" s="44"/>
      <c r="C131" s="59" t="str">
        <f aca="false">IF($B131="","",IFERROR(INDEX('Vendor Master'!$B$8:$B$47,MATCH($B131,'Vendor Master'!$A$8:$A$47,0)),"NOT FOUND"))</f>
        <v/>
      </c>
      <c r="D131" s="44"/>
      <c r="E131" s="45"/>
      <c r="F131" s="59" t="str">
        <f aca="false">IF($B131="","",IFERROR(INDEX('Vendor Master'!$C$8:$C$47,MATCH($B131,'Vendor Master'!$A$8:$A$47,0)),""))</f>
        <v/>
      </c>
      <c r="G131" s="45"/>
      <c r="H131" s="56"/>
      <c r="I131" s="56"/>
      <c r="J131" s="56"/>
      <c r="K131" s="44"/>
      <c r="L131" s="60" t="str">
        <f aca="false">IF($B131="","",IFERROR(INDEX('Vendor Master'!$G$8:$G$47,MATCH($B131,'Vendor Master'!$A$8:$A$47,0)),""))</f>
        <v/>
      </c>
      <c r="M131" s="61" t="str">
        <f aca="false">IF(OR($H131="",$L131=""),"",$H131+$L131)</f>
        <v/>
      </c>
      <c r="N131" s="58"/>
      <c r="O131" s="50" t="str">
        <f aca="false">IF($A131="","",SUMIFS('Payments Log'!$F$8:$F$207,'Payments Log'!$B$8:$B$207,$A131))</f>
        <v/>
      </c>
      <c r="P131" s="50" t="str">
        <f aca="false">IF($A131="","",ROUND($N131-$O131,2))</f>
        <v/>
      </c>
      <c r="Q131" s="53" t="str">
        <f aca="false">IF($A131="","",IF(N($N131)&lt;=0,"Check Amount",IF(ROUND($O131,2)&lt;=0,"Unpaid",IF(ROUND($O131-$N131,2)&gt;0,"Overpaid",IF(ROUND($P131,2)&lt;=0,"Paid","Partially Paid")))))</f>
        <v/>
      </c>
      <c r="R131" s="52" t="str">
        <f aca="false">IF(OR($A131="",$M131=""),"",IF(ROUND($P131,2)&lt;=0,0,MAX(0,Settings!$C$5-$M131-Settings!$C$7)))</f>
        <v/>
      </c>
      <c r="S131" s="50" t="str">
        <f aca="false">IF($A131="","",IF(N($R131)&gt;0,MAX($P131,0),0))</f>
        <v/>
      </c>
      <c r="T131" s="53" t="str">
        <f aca="false">IF($A131="","",IF(ROUND($P131,2)&lt;0,"Supplier Credit",IF(ROUND($P131,2)=0,"Closed",IF($M131="","No Due Date",IF(N($R131)&lt;=0,"Not Due Yet",IF(N($R131)&lt;=Settings!$C$8,"1-30 Days Overdue",IF(N($R131)&lt;=Settings!$C$9,"31-60 Days Overdue",IF(N($R131)&lt;=Settings!$C$10,"61-90 Days Overdue","90+ Days Overdue"))))))))</f>
        <v/>
      </c>
      <c r="U131" s="61" t="str">
        <f aca="false">IF($A131="","",IF(COUNTIFS('Payments Log'!$B$8:$B$207,$A131)=0,"",SUMPRODUCT(MAX(('Payments Log'!$B$8:$B$207=$A131)*'Payments Log'!$E$8:$E$207))))</f>
        <v/>
      </c>
      <c r="V131" s="53" t="str">
        <f aca="false">IF($A131="","",IF($J131="","Not Delivered",IF($I131="","No Target Date",IF($J131&lt;=$I131,"On Time","Late"))))</f>
        <v/>
      </c>
      <c r="W131" s="53" t="str">
        <f aca="false">IF($A131="","",IF($X131="","OK","REVIEW"))</f>
        <v/>
      </c>
      <c r="X131" s="62" t="str">
        <f aca="false">IF($A131="","",TRIM(IF($B131="","Missing vendor ID. ","")&amp;IF($C131="NOT FOUND","Vendor ID not in Vendor Master. ","")&amp;IF(COUNTIFS('Invoice &amp; Delivery Log'!$A$8:$A$157,$A131)&gt;1,"Duplicate invoice ID. ","")&amp;IF(AND($D131&lt;&gt;"",COUNTIFS('Invoice &amp; Delivery Log'!$D$8:$D$157,$D131,'Invoice &amp; Delivery Log'!$B$8:$B$157,$B131)&gt;1),"Duplicate supplier invoice number. ","")&amp;IF($E131="","Missing PO number. ","")&amp;IF($H131="","Missing invoice date. ","")&amp;IF(N($N131)&lt;=0,"Invoice amount must be greater than zero. ","")&amp;IF(AND($H131&lt;&gt;"",$H131&gt;Settings!$C$5),"Invoice date is in the future. ","")&amp;IF(AND($K131="Received in Full",$J131=""),"Missing actual delivery date. ","")&amp;IF(ROUND(N($O131)-N($N131),2)&gt;0,"Payments exceed the invoice amount. ","")&amp;IF(AND($K131="Rejected",N($O131)&gt;0),"Payment made on a rejected delivery. ","")&amp;IF(AND($B131&lt;&gt;"",IFERROR(INDEX('Vendor Master'!$H$8:$H$47,MATCH($B131,'Vendor Master'!$A$8:$A$47,0)),"")="Inactive",ROUND(N($P131),2)&gt;0),"Open balance with an inactive vendor. ","")))</f>
        <v/>
      </c>
      <c r="Y131" s="53" t="str">
        <f aca="false">IF($A131="","",IF(ROUND($P131,2)&gt;0.004,"Yes","No"))</f>
        <v/>
      </c>
      <c r="Z131" s="49" t="str">
        <f aca="false">IF(OR($Y131&lt;&gt;"Yes",$M131=""),"",COUNTIFS('Invoice &amp; Delivery Log'!$Y$8:$Y$157,"Yes",'Invoice &amp; Delivery Log'!$M$8:$M$157,"&lt;"&amp;$M131)+COUNTIFS('Invoice &amp; Delivery Log'!$Y$8:$Y$157,"Yes",'Invoice &amp; Delivery Log'!$M$8:$M$157,$M131,'Invoice &amp; Delivery Log'!$A$8:$A$157,"&lt;"&amp;$A131)+1)</f>
        <v/>
      </c>
    </row>
    <row r="132" customFormat="false" ht="15" hidden="false" customHeight="true" outlineLevel="0" collapsed="false">
      <c r="A132" s="44"/>
      <c r="B132" s="44"/>
      <c r="C132" s="55" t="str">
        <f aca="false">IF($B132="","",IFERROR(INDEX('Vendor Master'!$B$8:$B$47,MATCH($B132,'Vendor Master'!$A$8:$A$47,0)),"NOT FOUND"))</f>
        <v/>
      </c>
      <c r="D132" s="44"/>
      <c r="E132" s="45"/>
      <c r="F132" s="55" t="str">
        <f aca="false">IF($B132="","",IFERROR(INDEX('Vendor Master'!$C$8:$C$47,MATCH($B132,'Vendor Master'!$A$8:$A$47,0)),""))</f>
        <v/>
      </c>
      <c r="G132" s="45"/>
      <c r="H132" s="56"/>
      <c r="I132" s="56"/>
      <c r="J132" s="56"/>
      <c r="K132" s="44"/>
      <c r="L132" s="57" t="str">
        <f aca="false">IF($B132="","",IFERROR(INDEX('Vendor Master'!$G$8:$G$47,MATCH($B132,'Vendor Master'!$A$8:$A$47,0)),""))</f>
        <v/>
      </c>
      <c r="M132" s="37" t="str">
        <f aca="false">IF(OR($H132="",$L132=""),"",$H132+$L132)</f>
        <v/>
      </c>
      <c r="N132" s="58"/>
      <c r="O132" s="30" t="str">
        <f aca="false">IF($A132="","",SUMIFS('Payments Log'!$F$8:$F$207,'Payments Log'!$B$8:$B$207,$A132))</f>
        <v/>
      </c>
      <c r="P132" s="30" t="str">
        <f aca="false">IF($A132="","",ROUND($N132-$O132,2))</f>
        <v/>
      </c>
      <c r="Q132" s="36" t="str">
        <f aca="false">IF($A132="","",IF(N($N132)&lt;=0,"Check Amount",IF(ROUND($O132,2)&lt;=0,"Unpaid",IF(ROUND($O132-$N132,2)&gt;0,"Overpaid",IF(ROUND($P132,2)&lt;=0,"Paid","Partially Paid")))))</f>
        <v/>
      </c>
      <c r="R132" s="47" t="str">
        <f aca="false">IF(OR($A132="",$M132=""),"",IF(ROUND($P132,2)&lt;=0,0,MAX(0,Settings!$C$5-$M132-Settings!$C$7)))</f>
        <v/>
      </c>
      <c r="S132" s="30" t="str">
        <f aca="false">IF($A132="","",IF(N($R132)&gt;0,MAX($P132,0),0))</f>
        <v/>
      </c>
      <c r="T132" s="36" t="str">
        <f aca="false">IF($A132="","",IF(ROUND($P132,2)&lt;0,"Supplier Credit",IF(ROUND($P132,2)=0,"Closed",IF($M132="","No Due Date",IF(N($R132)&lt;=0,"Not Due Yet",IF(N($R132)&lt;=Settings!$C$8,"1-30 Days Overdue",IF(N($R132)&lt;=Settings!$C$9,"31-60 Days Overdue",IF(N($R132)&lt;=Settings!$C$10,"61-90 Days Overdue","90+ Days Overdue"))))))))</f>
        <v/>
      </c>
      <c r="U132" s="37" t="str">
        <f aca="false">IF($A132="","",IF(COUNTIFS('Payments Log'!$B$8:$B$207,$A132)=0,"",SUMPRODUCT(MAX(('Payments Log'!$B$8:$B$207=$A132)*'Payments Log'!$E$8:$E$207))))</f>
        <v/>
      </c>
      <c r="V132" s="36" t="str">
        <f aca="false">IF($A132="","",IF($J132="","Not Delivered",IF($I132="","No Target Date",IF($J132&lt;=$I132,"On Time","Late"))))</f>
        <v/>
      </c>
      <c r="W132" s="36" t="str">
        <f aca="false">IF($A132="","",IF($X132="","OK","REVIEW"))</f>
        <v/>
      </c>
      <c r="X132" s="28" t="str">
        <f aca="false">IF($A132="","",TRIM(IF($B132="","Missing vendor ID. ","")&amp;IF($C132="NOT FOUND","Vendor ID not in Vendor Master. ","")&amp;IF(COUNTIFS('Invoice &amp; Delivery Log'!$A$8:$A$157,$A132)&gt;1,"Duplicate invoice ID. ","")&amp;IF(AND($D132&lt;&gt;"",COUNTIFS('Invoice &amp; Delivery Log'!$D$8:$D$157,$D132,'Invoice &amp; Delivery Log'!$B$8:$B$157,$B132)&gt;1),"Duplicate supplier invoice number. ","")&amp;IF($E132="","Missing PO number. ","")&amp;IF($H132="","Missing invoice date. ","")&amp;IF(N($N132)&lt;=0,"Invoice amount must be greater than zero. ","")&amp;IF(AND($H132&lt;&gt;"",$H132&gt;Settings!$C$5),"Invoice date is in the future. ","")&amp;IF(AND($K132="Received in Full",$J132=""),"Missing actual delivery date. ","")&amp;IF(ROUND(N($O132)-N($N132),2)&gt;0,"Payments exceed the invoice amount. ","")&amp;IF(AND($K132="Rejected",N($O132)&gt;0),"Payment made on a rejected delivery. ","")&amp;IF(AND($B132&lt;&gt;"",IFERROR(INDEX('Vendor Master'!$H$8:$H$47,MATCH($B132,'Vendor Master'!$A$8:$A$47,0)),"")="Inactive",ROUND(N($P132),2)&gt;0),"Open balance with an inactive vendor. ","")))</f>
        <v/>
      </c>
      <c r="Y132" s="36" t="str">
        <f aca="false">IF($A132="","",IF(ROUND($P132,2)&gt;0.004,"Yes","No"))</f>
        <v/>
      </c>
      <c r="Z132" s="29" t="str">
        <f aca="false">IF(OR($Y132&lt;&gt;"Yes",$M132=""),"",COUNTIFS('Invoice &amp; Delivery Log'!$Y$8:$Y$157,"Yes",'Invoice &amp; Delivery Log'!$M$8:$M$157,"&lt;"&amp;$M132)+COUNTIFS('Invoice &amp; Delivery Log'!$Y$8:$Y$157,"Yes",'Invoice &amp; Delivery Log'!$M$8:$M$157,$M132,'Invoice &amp; Delivery Log'!$A$8:$A$157,"&lt;"&amp;$A132)+1)</f>
        <v/>
      </c>
    </row>
    <row r="133" customFormat="false" ht="15" hidden="false" customHeight="true" outlineLevel="0" collapsed="false">
      <c r="A133" s="44"/>
      <c r="B133" s="44"/>
      <c r="C133" s="59" t="str">
        <f aca="false">IF($B133="","",IFERROR(INDEX('Vendor Master'!$B$8:$B$47,MATCH($B133,'Vendor Master'!$A$8:$A$47,0)),"NOT FOUND"))</f>
        <v/>
      </c>
      <c r="D133" s="44"/>
      <c r="E133" s="45"/>
      <c r="F133" s="59" t="str">
        <f aca="false">IF($B133="","",IFERROR(INDEX('Vendor Master'!$C$8:$C$47,MATCH($B133,'Vendor Master'!$A$8:$A$47,0)),""))</f>
        <v/>
      </c>
      <c r="G133" s="45"/>
      <c r="H133" s="56"/>
      <c r="I133" s="56"/>
      <c r="J133" s="56"/>
      <c r="K133" s="44"/>
      <c r="L133" s="60" t="str">
        <f aca="false">IF($B133="","",IFERROR(INDEX('Vendor Master'!$G$8:$G$47,MATCH($B133,'Vendor Master'!$A$8:$A$47,0)),""))</f>
        <v/>
      </c>
      <c r="M133" s="61" t="str">
        <f aca="false">IF(OR($H133="",$L133=""),"",$H133+$L133)</f>
        <v/>
      </c>
      <c r="N133" s="58"/>
      <c r="O133" s="50" t="str">
        <f aca="false">IF($A133="","",SUMIFS('Payments Log'!$F$8:$F$207,'Payments Log'!$B$8:$B$207,$A133))</f>
        <v/>
      </c>
      <c r="P133" s="50" t="str">
        <f aca="false">IF($A133="","",ROUND($N133-$O133,2))</f>
        <v/>
      </c>
      <c r="Q133" s="53" t="str">
        <f aca="false">IF($A133="","",IF(N($N133)&lt;=0,"Check Amount",IF(ROUND($O133,2)&lt;=0,"Unpaid",IF(ROUND($O133-$N133,2)&gt;0,"Overpaid",IF(ROUND($P133,2)&lt;=0,"Paid","Partially Paid")))))</f>
        <v/>
      </c>
      <c r="R133" s="52" t="str">
        <f aca="false">IF(OR($A133="",$M133=""),"",IF(ROUND($P133,2)&lt;=0,0,MAX(0,Settings!$C$5-$M133-Settings!$C$7)))</f>
        <v/>
      </c>
      <c r="S133" s="50" t="str">
        <f aca="false">IF($A133="","",IF(N($R133)&gt;0,MAX($P133,0),0))</f>
        <v/>
      </c>
      <c r="T133" s="53" t="str">
        <f aca="false">IF($A133="","",IF(ROUND($P133,2)&lt;0,"Supplier Credit",IF(ROUND($P133,2)=0,"Closed",IF($M133="","No Due Date",IF(N($R133)&lt;=0,"Not Due Yet",IF(N($R133)&lt;=Settings!$C$8,"1-30 Days Overdue",IF(N($R133)&lt;=Settings!$C$9,"31-60 Days Overdue",IF(N($R133)&lt;=Settings!$C$10,"61-90 Days Overdue","90+ Days Overdue"))))))))</f>
        <v/>
      </c>
      <c r="U133" s="61" t="str">
        <f aca="false">IF($A133="","",IF(COUNTIFS('Payments Log'!$B$8:$B$207,$A133)=0,"",SUMPRODUCT(MAX(('Payments Log'!$B$8:$B$207=$A133)*'Payments Log'!$E$8:$E$207))))</f>
        <v/>
      </c>
      <c r="V133" s="53" t="str">
        <f aca="false">IF($A133="","",IF($J133="","Not Delivered",IF($I133="","No Target Date",IF($J133&lt;=$I133,"On Time","Late"))))</f>
        <v/>
      </c>
      <c r="W133" s="53" t="str">
        <f aca="false">IF($A133="","",IF($X133="","OK","REVIEW"))</f>
        <v/>
      </c>
      <c r="X133" s="62" t="str">
        <f aca="false">IF($A133="","",TRIM(IF($B133="","Missing vendor ID. ","")&amp;IF($C133="NOT FOUND","Vendor ID not in Vendor Master. ","")&amp;IF(COUNTIFS('Invoice &amp; Delivery Log'!$A$8:$A$157,$A133)&gt;1,"Duplicate invoice ID. ","")&amp;IF(AND($D133&lt;&gt;"",COUNTIFS('Invoice &amp; Delivery Log'!$D$8:$D$157,$D133,'Invoice &amp; Delivery Log'!$B$8:$B$157,$B133)&gt;1),"Duplicate supplier invoice number. ","")&amp;IF($E133="","Missing PO number. ","")&amp;IF($H133="","Missing invoice date. ","")&amp;IF(N($N133)&lt;=0,"Invoice amount must be greater than zero. ","")&amp;IF(AND($H133&lt;&gt;"",$H133&gt;Settings!$C$5),"Invoice date is in the future. ","")&amp;IF(AND($K133="Received in Full",$J133=""),"Missing actual delivery date. ","")&amp;IF(ROUND(N($O133)-N($N133),2)&gt;0,"Payments exceed the invoice amount. ","")&amp;IF(AND($K133="Rejected",N($O133)&gt;0),"Payment made on a rejected delivery. ","")&amp;IF(AND($B133&lt;&gt;"",IFERROR(INDEX('Vendor Master'!$H$8:$H$47,MATCH($B133,'Vendor Master'!$A$8:$A$47,0)),"")="Inactive",ROUND(N($P133),2)&gt;0),"Open balance with an inactive vendor. ","")))</f>
        <v/>
      </c>
      <c r="Y133" s="53" t="str">
        <f aca="false">IF($A133="","",IF(ROUND($P133,2)&gt;0.004,"Yes","No"))</f>
        <v/>
      </c>
      <c r="Z133" s="49" t="str">
        <f aca="false">IF(OR($Y133&lt;&gt;"Yes",$M133=""),"",COUNTIFS('Invoice &amp; Delivery Log'!$Y$8:$Y$157,"Yes",'Invoice &amp; Delivery Log'!$M$8:$M$157,"&lt;"&amp;$M133)+COUNTIFS('Invoice &amp; Delivery Log'!$Y$8:$Y$157,"Yes",'Invoice &amp; Delivery Log'!$M$8:$M$157,$M133,'Invoice &amp; Delivery Log'!$A$8:$A$157,"&lt;"&amp;$A133)+1)</f>
        <v/>
      </c>
    </row>
    <row r="134" customFormat="false" ht="15" hidden="false" customHeight="true" outlineLevel="0" collapsed="false">
      <c r="A134" s="44"/>
      <c r="B134" s="44"/>
      <c r="C134" s="55" t="str">
        <f aca="false">IF($B134="","",IFERROR(INDEX('Vendor Master'!$B$8:$B$47,MATCH($B134,'Vendor Master'!$A$8:$A$47,0)),"NOT FOUND"))</f>
        <v/>
      </c>
      <c r="D134" s="44"/>
      <c r="E134" s="45"/>
      <c r="F134" s="55" t="str">
        <f aca="false">IF($B134="","",IFERROR(INDEX('Vendor Master'!$C$8:$C$47,MATCH($B134,'Vendor Master'!$A$8:$A$47,0)),""))</f>
        <v/>
      </c>
      <c r="G134" s="45"/>
      <c r="H134" s="56"/>
      <c r="I134" s="56"/>
      <c r="J134" s="56"/>
      <c r="K134" s="44"/>
      <c r="L134" s="57" t="str">
        <f aca="false">IF($B134="","",IFERROR(INDEX('Vendor Master'!$G$8:$G$47,MATCH($B134,'Vendor Master'!$A$8:$A$47,0)),""))</f>
        <v/>
      </c>
      <c r="M134" s="37" t="str">
        <f aca="false">IF(OR($H134="",$L134=""),"",$H134+$L134)</f>
        <v/>
      </c>
      <c r="N134" s="58"/>
      <c r="O134" s="30" t="str">
        <f aca="false">IF($A134="","",SUMIFS('Payments Log'!$F$8:$F$207,'Payments Log'!$B$8:$B$207,$A134))</f>
        <v/>
      </c>
      <c r="P134" s="30" t="str">
        <f aca="false">IF($A134="","",ROUND($N134-$O134,2))</f>
        <v/>
      </c>
      <c r="Q134" s="36" t="str">
        <f aca="false">IF($A134="","",IF(N($N134)&lt;=0,"Check Amount",IF(ROUND($O134,2)&lt;=0,"Unpaid",IF(ROUND($O134-$N134,2)&gt;0,"Overpaid",IF(ROUND($P134,2)&lt;=0,"Paid","Partially Paid")))))</f>
        <v/>
      </c>
      <c r="R134" s="47" t="str">
        <f aca="false">IF(OR($A134="",$M134=""),"",IF(ROUND($P134,2)&lt;=0,0,MAX(0,Settings!$C$5-$M134-Settings!$C$7)))</f>
        <v/>
      </c>
      <c r="S134" s="30" t="str">
        <f aca="false">IF($A134="","",IF(N($R134)&gt;0,MAX($P134,0),0))</f>
        <v/>
      </c>
      <c r="T134" s="36" t="str">
        <f aca="false">IF($A134="","",IF(ROUND($P134,2)&lt;0,"Supplier Credit",IF(ROUND($P134,2)=0,"Closed",IF($M134="","No Due Date",IF(N($R134)&lt;=0,"Not Due Yet",IF(N($R134)&lt;=Settings!$C$8,"1-30 Days Overdue",IF(N($R134)&lt;=Settings!$C$9,"31-60 Days Overdue",IF(N($R134)&lt;=Settings!$C$10,"61-90 Days Overdue","90+ Days Overdue"))))))))</f>
        <v/>
      </c>
      <c r="U134" s="37" t="str">
        <f aca="false">IF($A134="","",IF(COUNTIFS('Payments Log'!$B$8:$B$207,$A134)=0,"",SUMPRODUCT(MAX(('Payments Log'!$B$8:$B$207=$A134)*'Payments Log'!$E$8:$E$207))))</f>
        <v/>
      </c>
      <c r="V134" s="36" t="str">
        <f aca="false">IF($A134="","",IF($J134="","Not Delivered",IF($I134="","No Target Date",IF($J134&lt;=$I134,"On Time","Late"))))</f>
        <v/>
      </c>
      <c r="W134" s="36" t="str">
        <f aca="false">IF($A134="","",IF($X134="","OK","REVIEW"))</f>
        <v/>
      </c>
      <c r="X134" s="28" t="str">
        <f aca="false">IF($A134="","",TRIM(IF($B134="","Missing vendor ID. ","")&amp;IF($C134="NOT FOUND","Vendor ID not in Vendor Master. ","")&amp;IF(COUNTIFS('Invoice &amp; Delivery Log'!$A$8:$A$157,$A134)&gt;1,"Duplicate invoice ID. ","")&amp;IF(AND($D134&lt;&gt;"",COUNTIFS('Invoice &amp; Delivery Log'!$D$8:$D$157,$D134,'Invoice &amp; Delivery Log'!$B$8:$B$157,$B134)&gt;1),"Duplicate supplier invoice number. ","")&amp;IF($E134="","Missing PO number. ","")&amp;IF($H134="","Missing invoice date. ","")&amp;IF(N($N134)&lt;=0,"Invoice amount must be greater than zero. ","")&amp;IF(AND($H134&lt;&gt;"",$H134&gt;Settings!$C$5),"Invoice date is in the future. ","")&amp;IF(AND($K134="Received in Full",$J134=""),"Missing actual delivery date. ","")&amp;IF(ROUND(N($O134)-N($N134),2)&gt;0,"Payments exceed the invoice amount. ","")&amp;IF(AND($K134="Rejected",N($O134)&gt;0),"Payment made on a rejected delivery. ","")&amp;IF(AND($B134&lt;&gt;"",IFERROR(INDEX('Vendor Master'!$H$8:$H$47,MATCH($B134,'Vendor Master'!$A$8:$A$47,0)),"")="Inactive",ROUND(N($P134),2)&gt;0),"Open balance with an inactive vendor. ","")))</f>
        <v/>
      </c>
      <c r="Y134" s="36" t="str">
        <f aca="false">IF($A134="","",IF(ROUND($P134,2)&gt;0.004,"Yes","No"))</f>
        <v/>
      </c>
      <c r="Z134" s="29" t="str">
        <f aca="false">IF(OR($Y134&lt;&gt;"Yes",$M134=""),"",COUNTIFS('Invoice &amp; Delivery Log'!$Y$8:$Y$157,"Yes",'Invoice &amp; Delivery Log'!$M$8:$M$157,"&lt;"&amp;$M134)+COUNTIFS('Invoice &amp; Delivery Log'!$Y$8:$Y$157,"Yes",'Invoice &amp; Delivery Log'!$M$8:$M$157,$M134,'Invoice &amp; Delivery Log'!$A$8:$A$157,"&lt;"&amp;$A134)+1)</f>
        <v/>
      </c>
    </row>
    <row r="135" customFormat="false" ht="15" hidden="false" customHeight="true" outlineLevel="0" collapsed="false">
      <c r="A135" s="44"/>
      <c r="B135" s="44"/>
      <c r="C135" s="59" t="str">
        <f aca="false">IF($B135="","",IFERROR(INDEX('Vendor Master'!$B$8:$B$47,MATCH($B135,'Vendor Master'!$A$8:$A$47,0)),"NOT FOUND"))</f>
        <v/>
      </c>
      <c r="D135" s="44"/>
      <c r="E135" s="45"/>
      <c r="F135" s="59" t="str">
        <f aca="false">IF($B135="","",IFERROR(INDEX('Vendor Master'!$C$8:$C$47,MATCH($B135,'Vendor Master'!$A$8:$A$47,0)),""))</f>
        <v/>
      </c>
      <c r="G135" s="45"/>
      <c r="H135" s="56"/>
      <c r="I135" s="56"/>
      <c r="J135" s="56"/>
      <c r="K135" s="44"/>
      <c r="L135" s="60" t="str">
        <f aca="false">IF($B135="","",IFERROR(INDEX('Vendor Master'!$G$8:$G$47,MATCH($B135,'Vendor Master'!$A$8:$A$47,0)),""))</f>
        <v/>
      </c>
      <c r="M135" s="61" t="str">
        <f aca="false">IF(OR($H135="",$L135=""),"",$H135+$L135)</f>
        <v/>
      </c>
      <c r="N135" s="58"/>
      <c r="O135" s="50" t="str">
        <f aca="false">IF($A135="","",SUMIFS('Payments Log'!$F$8:$F$207,'Payments Log'!$B$8:$B$207,$A135))</f>
        <v/>
      </c>
      <c r="P135" s="50" t="str">
        <f aca="false">IF($A135="","",ROUND($N135-$O135,2))</f>
        <v/>
      </c>
      <c r="Q135" s="53" t="str">
        <f aca="false">IF($A135="","",IF(N($N135)&lt;=0,"Check Amount",IF(ROUND($O135,2)&lt;=0,"Unpaid",IF(ROUND($O135-$N135,2)&gt;0,"Overpaid",IF(ROUND($P135,2)&lt;=0,"Paid","Partially Paid")))))</f>
        <v/>
      </c>
      <c r="R135" s="52" t="str">
        <f aca="false">IF(OR($A135="",$M135=""),"",IF(ROUND($P135,2)&lt;=0,0,MAX(0,Settings!$C$5-$M135-Settings!$C$7)))</f>
        <v/>
      </c>
      <c r="S135" s="50" t="str">
        <f aca="false">IF($A135="","",IF(N($R135)&gt;0,MAX($P135,0),0))</f>
        <v/>
      </c>
      <c r="T135" s="53" t="str">
        <f aca="false">IF($A135="","",IF(ROUND($P135,2)&lt;0,"Supplier Credit",IF(ROUND($P135,2)=0,"Closed",IF($M135="","No Due Date",IF(N($R135)&lt;=0,"Not Due Yet",IF(N($R135)&lt;=Settings!$C$8,"1-30 Days Overdue",IF(N($R135)&lt;=Settings!$C$9,"31-60 Days Overdue",IF(N($R135)&lt;=Settings!$C$10,"61-90 Days Overdue","90+ Days Overdue"))))))))</f>
        <v/>
      </c>
      <c r="U135" s="61" t="str">
        <f aca="false">IF($A135="","",IF(COUNTIFS('Payments Log'!$B$8:$B$207,$A135)=0,"",SUMPRODUCT(MAX(('Payments Log'!$B$8:$B$207=$A135)*'Payments Log'!$E$8:$E$207))))</f>
        <v/>
      </c>
      <c r="V135" s="53" t="str">
        <f aca="false">IF($A135="","",IF($J135="","Not Delivered",IF($I135="","No Target Date",IF($J135&lt;=$I135,"On Time","Late"))))</f>
        <v/>
      </c>
      <c r="W135" s="53" t="str">
        <f aca="false">IF($A135="","",IF($X135="","OK","REVIEW"))</f>
        <v/>
      </c>
      <c r="X135" s="62" t="str">
        <f aca="false">IF($A135="","",TRIM(IF($B135="","Missing vendor ID. ","")&amp;IF($C135="NOT FOUND","Vendor ID not in Vendor Master. ","")&amp;IF(COUNTIFS('Invoice &amp; Delivery Log'!$A$8:$A$157,$A135)&gt;1,"Duplicate invoice ID. ","")&amp;IF(AND($D135&lt;&gt;"",COUNTIFS('Invoice &amp; Delivery Log'!$D$8:$D$157,$D135,'Invoice &amp; Delivery Log'!$B$8:$B$157,$B135)&gt;1),"Duplicate supplier invoice number. ","")&amp;IF($E135="","Missing PO number. ","")&amp;IF($H135="","Missing invoice date. ","")&amp;IF(N($N135)&lt;=0,"Invoice amount must be greater than zero. ","")&amp;IF(AND($H135&lt;&gt;"",$H135&gt;Settings!$C$5),"Invoice date is in the future. ","")&amp;IF(AND($K135="Received in Full",$J135=""),"Missing actual delivery date. ","")&amp;IF(ROUND(N($O135)-N($N135),2)&gt;0,"Payments exceed the invoice amount. ","")&amp;IF(AND($K135="Rejected",N($O135)&gt;0),"Payment made on a rejected delivery. ","")&amp;IF(AND($B135&lt;&gt;"",IFERROR(INDEX('Vendor Master'!$H$8:$H$47,MATCH($B135,'Vendor Master'!$A$8:$A$47,0)),"")="Inactive",ROUND(N($P135),2)&gt;0),"Open balance with an inactive vendor. ","")))</f>
        <v/>
      </c>
      <c r="Y135" s="53" t="str">
        <f aca="false">IF($A135="","",IF(ROUND($P135,2)&gt;0.004,"Yes","No"))</f>
        <v/>
      </c>
      <c r="Z135" s="49" t="str">
        <f aca="false">IF(OR($Y135&lt;&gt;"Yes",$M135=""),"",COUNTIFS('Invoice &amp; Delivery Log'!$Y$8:$Y$157,"Yes",'Invoice &amp; Delivery Log'!$M$8:$M$157,"&lt;"&amp;$M135)+COUNTIFS('Invoice &amp; Delivery Log'!$Y$8:$Y$157,"Yes",'Invoice &amp; Delivery Log'!$M$8:$M$157,$M135,'Invoice &amp; Delivery Log'!$A$8:$A$157,"&lt;"&amp;$A135)+1)</f>
        <v/>
      </c>
    </row>
    <row r="136" customFormat="false" ht="15" hidden="false" customHeight="true" outlineLevel="0" collapsed="false">
      <c r="A136" s="44"/>
      <c r="B136" s="44"/>
      <c r="C136" s="55" t="str">
        <f aca="false">IF($B136="","",IFERROR(INDEX('Vendor Master'!$B$8:$B$47,MATCH($B136,'Vendor Master'!$A$8:$A$47,0)),"NOT FOUND"))</f>
        <v/>
      </c>
      <c r="D136" s="44"/>
      <c r="E136" s="45"/>
      <c r="F136" s="55" t="str">
        <f aca="false">IF($B136="","",IFERROR(INDEX('Vendor Master'!$C$8:$C$47,MATCH($B136,'Vendor Master'!$A$8:$A$47,0)),""))</f>
        <v/>
      </c>
      <c r="G136" s="45"/>
      <c r="H136" s="56"/>
      <c r="I136" s="56"/>
      <c r="J136" s="56"/>
      <c r="K136" s="44"/>
      <c r="L136" s="57" t="str">
        <f aca="false">IF($B136="","",IFERROR(INDEX('Vendor Master'!$G$8:$G$47,MATCH($B136,'Vendor Master'!$A$8:$A$47,0)),""))</f>
        <v/>
      </c>
      <c r="M136" s="37" t="str">
        <f aca="false">IF(OR($H136="",$L136=""),"",$H136+$L136)</f>
        <v/>
      </c>
      <c r="N136" s="58"/>
      <c r="O136" s="30" t="str">
        <f aca="false">IF($A136="","",SUMIFS('Payments Log'!$F$8:$F$207,'Payments Log'!$B$8:$B$207,$A136))</f>
        <v/>
      </c>
      <c r="P136" s="30" t="str">
        <f aca="false">IF($A136="","",ROUND($N136-$O136,2))</f>
        <v/>
      </c>
      <c r="Q136" s="36" t="str">
        <f aca="false">IF($A136="","",IF(N($N136)&lt;=0,"Check Amount",IF(ROUND($O136,2)&lt;=0,"Unpaid",IF(ROUND($O136-$N136,2)&gt;0,"Overpaid",IF(ROUND($P136,2)&lt;=0,"Paid","Partially Paid")))))</f>
        <v/>
      </c>
      <c r="R136" s="47" t="str">
        <f aca="false">IF(OR($A136="",$M136=""),"",IF(ROUND($P136,2)&lt;=0,0,MAX(0,Settings!$C$5-$M136-Settings!$C$7)))</f>
        <v/>
      </c>
      <c r="S136" s="30" t="str">
        <f aca="false">IF($A136="","",IF(N($R136)&gt;0,MAX($P136,0),0))</f>
        <v/>
      </c>
      <c r="T136" s="36" t="str">
        <f aca="false">IF($A136="","",IF(ROUND($P136,2)&lt;0,"Supplier Credit",IF(ROUND($P136,2)=0,"Closed",IF($M136="","No Due Date",IF(N($R136)&lt;=0,"Not Due Yet",IF(N($R136)&lt;=Settings!$C$8,"1-30 Days Overdue",IF(N($R136)&lt;=Settings!$C$9,"31-60 Days Overdue",IF(N($R136)&lt;=Settings!$C$10,"61-90 Days Overdue","90+ Days Overdue"))))))))</f>
        <v/>
      </c>
      <c r="U136" s="37" t="str">
        <f aca="false">IF($A136="","",IF(COUNTIFS('Payments Log'!$B$8:$B$207,$A136)=0,"",SUMPRODUCT(MAX(('Payments Log'!$B$8:$B$207=$A136)*'Payments Log'!$E$8:$E$207))))</f>
        <v/>
      </c>
      <c r="V136" s="36" t="str">
        <f aca="false">IF($A136="","",IF($J136="","Not Delivered",IF($I136="","No Target Date",IF($J136&lt;=$I136,"On Time","Late"))))</f>
        <v/>
      </c>
      <c r="W136" s="36" t="str">
        <f aca="false">IF($A136="","",IF($X136="","OK","REVIEW"))</f>
        <v/>
      </c>
      <c r="X136" s="28" t="str">
        <f aca="false">IF($A136="","",TRIM(IF($B136="","Missing vendor ID. ","")&amp;IF($C136="NOT FOUND","Vendor ID not in Vendor Master. ","")&amp;IF(COUNTIFS('Invoice &amp; Delivery Log'!$A$8:$A$157,$A136)&gt;1,"Duplicate invoice ID. ","")&amp;IF(AND($D136&lt;&gt;"",COUNTIFS('Invoice &amp; Delivery Log'!$D$8:$D$157,$D136,'Invoice &amp; Delivery Log'!$B$8:$B$157,$B136)&gt;1),"Duplicate supplier invoice number. ","")&amp;IF($E136="","Missing PO number. ","")&amp;IF($H136="","Missing invoice date. ","")&amp;IF(N($N136)&lt;=0,"Invoice amount must be greater than zero. ","")&amp;IF(AND($H136&lt;&gt;"",$H136&gt;Settings!$C$5),"Invoice date is in the future. ","")&amp;IF(AND($K136="Received in Full",$J136=""),"Missing actual delivery date. ","")&amp;IF(ROUND(N($O136)-N($N136),2)&gt;0,"Payments exceed the invoice amount. ","")&amp;IF(AND($K136="Rejected",N($O136)&gt;0),"Payment made on a rejected delivery. ","")&amp;IF(AND($B136&lt;&gt;"",IFERROR(INDEX('Vendor Master'!$H$8:$H$47,MATCH($B136,'Vendor Master'!$A$8:$A$47,0)),"")="Inactive",ROUND(N($P136),2)&gt;0),"Open balance with an inactive vendor. ","")))</f>
        <v/>
      </c>
      <c r="Y136" s="36" t="str">
        <f aca="false">IF($A136="","",IF(ROUND($P136,2)&gt;0.004,"Yes","No"))</f>
        <v/>
      </c>
      <c r="Z136" s="29" t="str">
        <f aca="false">IF(OR($Y136&lt;&gt;"Yes",$M136=""),"",COUNTIFS('Invoice &amp; Delivery Log'!$Y$8:$Y$157,"Yes",'Invoice &amp; Delivery Log'!$M$8:$M$157,"&lt;"&amp;$M136)+COUNTIFS('Invoice &amp; Delivery Log'!$Y$8:$Y$157,"Yes",'Invoice &amp; Delivery Log'!$M$8:$M$157,$M136,'Invoice &amp; Delivery Log'!$A$8:$A$157,"&lt;"&amp;$A136)+1)</f>
        <v/>
      </c>
    </row>
    <row r="137" customFormat="false" ht="15" hidden="false" customHeight="true" outlineLevel="0" collapsed="false">
      <c r="A137" s="44"/>
      <c r="B137" s="44"/>
      <c r="C137" s="59" t="str">
        <f aca="false">IF($B137="","",IFERROR(INDEX('Vendor Master'!$B$8:$B$47,MATCH($B137,'Vendor Master'!$A$8:$A$47,0)),"NOT FOUND"))</f>
        <v/>
      </c>
      <c r="D137" s="44"/>
      <c r="E137" s="45"/>
      <c r="F137" s="59" t="str">
        <f aca="false">IF($B137="","",IFERROR(INDEX('Vendor Master'!$C$8:$C$47,MATCH($B137,'Vendor Master'!$A$8:$A$47,0)),""))</f>
        <v/>
      </c>
      <c r="G137" s="45"/>
      <c r="H137" s="56"/>
      <c r="I137" s="56"/>
      <c r="J137" s="56"/>
      <c r="K137" s="44"/>
      <c r="L137" s="60" t="str">
        <f aca="false">IF($B137="","",IFERROR(INDEX('Vendor Master'!$G$8:$G$47,MATCH($B137,'Vendor Master'!$A$8:$A$47,0)),""))</f>
        <v/>
      </c>
      <c r="M137" s="61" t="str">
        <f aca="false">IF(OR($H137="",$L137=""),"",$H137+$L137)</f>
        <v/>
      </c>
      <c r="N137" s="58"/>
      <c r="O137" s="50" t="str">
        <f aca="false">IF($A137="","",SUMIFS('Payments Log'!$F$8:$F$207,'Payments Log'!$B$8:$B$207,$A137))</f>
        <v/>
      </c>
      <c r="P137" s="50" t="str">
        <f aca="false">IF($A137="","",ROUND($N137-$O137,2))</f>
        <v/>
      </c>
      <c r="Q137" s="53" t="str">
        <f aca="false">IF($A137="","",IF(N($N137)&lt;=0,"Check Amount",IF(ROUND($O137,2)&lt;=0,"Unpaid",IF(ROUND($O137-$N137,2)&gt;0,"Overpaid",IF(ROUND($P137,2)&lt;=0,"Paid","Partially Paid")))))</f>
        <v/>
      </c>
      <c r="R137" s="52" t="str">
        <f aca="false">IF(OR($A137="",$M137=""),"",IF(ROUND($P137,2)&lt;=0,0,MAX(0,Settings!$C$5-$M137-Settings!$C$7)))</f>
        <v/>
      </c>
      <c r="S137" s="50" t="str">
        <f aca="false">IF($A137="","",IF(N($R137)&gt;0,MAX($P137,0),0))</f>
        <v/>
      </c>
      <c r="T137" s="53" t="str">
        <f aca="false">IF($A137="","",IF(ROUND($P137,2)&lt;0,"Supplier Credit",IF(ROUND($P137,2)=0,"Closed",IF($M137="","No Due Date",IF(N($R137)&lt;=0,"Not Due Yet",IF(N($R137)&lt;=Settings!$C$8,"1-30 Days Overdue",IF(N($R137)&lt;=Settings!$C$9,"31-60 Days Overdue",IF(N($R137)&lt;=Settings!$C$10,"61-90 Days Overdue","90+ Days Overdue"))))))))</f>
        <v/>
      </c>
      <c r="U137" s="61" t="str">
        <f aca="false">IF($A137="","",IF(COUNTIFS('Payments Log'!$B$8:$B$207,$A137)=0,"",SUMPRODUCT(MAX(('Payments Log'!$B$8:$B$207=$A137)*'Payments Log'!$E$8:$E$207))))</f>
        <v/>
      </c>
      <c r="V137" s="53" t="str">
        <f aca="false">IF($A137="","",IF($J137="","Not Delivered",IF($I137="","No Target Date",IF($J137&lt;=$I137,"On Time","Late"))))</f>
        <v/>
      </c>
      <c r="W137" s="53" t="str">
        <f aca="false">IF($A137="","",IF($X137="","OK","REVIEW"))</f>
        <v/>
      </c>
      <c r="X137" s="62" t="str">
        <f aca="false">IF($A137="","",TRIM(IF($B137="","Missing vendor ID. ","")&amp;IF($C137="NOT FOUND","Vendor ID not in Vendor Master. ","")&amp;IF(COUNTIFS('Invoice &amp; Delivery Log'!$A$8:$A$157,$A137)&gt;1,"Duplicate invoice ID. ","")&amp;IF(AND($D137&lt;&gt;"",COUNTIFS('Invoice &amp; Delivery Log'!$D$8:$D$157,$D137,'Invoice &amp; Delivery Log'!$B$8:$B$157,$B137)&gt;1),"Duplicate supplier invoice number. ","")&amp;IF($E137="","Missing PO number. ","")&amp;IF($H137="","Missing invoice date. ","")&amp;IF(N($N137)&lt;=0,"Invoice amount must be greater than zero. ","")&amp;IF(AND($H137&lt;&gt;"",$H137&gt;Settings!$C$5),"Invoice date is in the future. ","")&amp;IF(AND($K137="Received in Full",$J137=""),"Missing actual delivery date. ","")&amp;IF(ROUND(N($O137)-N($N137),2)&gt;0,"Payments exceed the invoice amount. ","")&amp;IF(AND($K137="Rejected",N($O137)&gt;0),"Payment made on a rejected delivery. ","")&amp;IF(AND($B137&lt;&gt;"",IFERROR(INDEX('Vendor Master'!$H$8:$H$47,MATCH($B137,'Vendor Master'!$A$8:$A$47,0)),"")="Inactive",ROUND(N($P137),2)&gt;0),"Open balance with an inactive vendor. ","")))</f>
        <v/>
      </c>
      <c r="Y137" s="53" t="str">
        <f aca="false">IF($A137="","",IF(ROUND($P137,2)&gt;0.004,"Yes","No"))</f>
        <v/>
      </c>
      <c r="Z137" s="49" t="str">
        <f aca="false">IF(OR($Y137&lt;&gt;"Yes",$M137=""),"",COUNTIFS('Invoice &amp; Delivery Log'!$Y$8:$Y$157,"Yes",'Invoice &amp; Delivery Log'!$M$8:$M$157,"&lt;"&amp;$M137)+COUNTIFS('Invoice &amp; Delivery Log'!$Y$8:$Y$157,"Yes",'Invoice &amp; Delivery Log'!$M$8:$M$157,$M137,'Invoice &amp; Delivery Log'!$A$8:$A$157,"&lt;"&amp;$A137)+1)</f>
        <v/>
      </c>
    </row>
    <row r="138" customFormat="false" ht="15" hidden="false" customHeight="true" outlineLevel="0" collapsed="false">
      <c r="A138" s="44"/>
      <c r="B138" s="44"/>
      <c r="C138" s="55" t="str">
        <f aca="false">IF($B138="","",IFERROR(INDEX('Vendor Master'!$B$8:$B$47,MATCH($B138,'Vendor Master'!$A$8:$A$47,0)),"NOT FOUND"))</f>
        <v/>
      </c>
      <c r="D138" s="44"/>
      <c r="E138" s="45"/>
      <c r="F138" s="55" t="str">
        <f aca="false">IF($B138="","",IFERROR(INDEX('Vendor Master'!$C$8:$C$47,MATCH($B138,'Vendor Master'!$A$8:$A$47,0)),""))</f>
        <v/>
      </c>
      <c r="G138" s="45"/>
      <c r="H138" s="56"/>
      <c r="I138" s="56"/>
      <c r="J138" s="56"/>
      <c r="K138" s="44"/>
      <c r="L138" s="57" t="str">
        <f aca="false">IF($B138="","",IFERROR(INDEX('Vendor Master'!$G$8:$G$47,MATCH($B138,'Vendor Master'!$A$8:$A$47,0)),""))</f>
        <v/>
      </c>
      <c r="M138" s="37" t="str">
        <f aca="false">IF(OR($H138="",$L138=""),"",$H138+$L138)</f>
        <v/>
      </c>
      <c r="N138" s="58"/>
      <c r="O138" s="30" t="str">
        <f aca="false">IF($A138="","",SUMIFS('Payments Log'!$F$8:$F$207,'Payments Log'!$B$8:$B$207,$A138))</f>
        <v/>
      </c>
      <c r="P138" s="30" t="str">
        <f aca="false">IF($A138="","",ROUND($N138-$O138,2))</f>
        <v/>
      </c>
      <c r="Q138" s="36" t="str">
        <f aca="false">IF($A138="","",IF(N($N138)&lt;=0,"Check Amount",IF(ROUND($O138,2)&lt;=0,"Unpaid",IF(ROUND($O138-$N138,2)&gt;0,"Overpaid",IF(ROUND($P138,2)&lt;=0,"Paid","Partially Paid")))))</f>
        <v/>
      </c>
      <c r="R138" s="47" t="str">
        <f aca="false">IF(OR($A138="",$M138=""),"",IF(ROUND($P138,2)&lt;=0,0,MAX(0,Settings!$C$5-$M138-Settings!$C$7)))</f>
        <v/>
      </c>
      <c r="S138" s="30" t="str">
        <f aca="false">IF($A138="","",IF(N($R138)&gt;0,MAX($P138,0),0))</f>
        <v/>
      </c>
      <c r="T138" s="36" t="str">
        <f aca="false">IF($A138="","",IF(ROUND($P138,2)&lt;0,"Supplier Credit",IF(ROUND($P138,2)=0,"Closed",IF($M138="","No Due Date",IF(N($R138)&lt;=0,"Not Due Yet",IF(N($R138)&lt;=Settings!$C$8,"1-30 Days Overdue",IF(N($R138)&lt;=Settings!$C$9,"31-60 Days Overdue",IF(N($R138)&lt;=Settings!$C$10,"61-90 Days Overdue","90+ Days Overdue"))))))))</f>
        <v/>
      </c>
      <c r="U138" s="37" t="str">
        <f aca="false">IF($A138="","",IF(COUNTIFS('Payments Log'!$B$8:$B$207,$A138)=0,"",SUMPRODUCT(MAX(('Payments Log'!$B$8:$B$207=$A138)*'Payments Log'!$E$8:$E$207))))</f>
        <v/>
      </c>
      <c r="V138" s="36" t="str">
        <f aca="false">IF($A138="","",IF($J138="","Not Delivered",IF($I138="","No Target Date",IF($J138&lt;=$I138,"On Time","Late"))))</f>
        <v/>
      </c>
      <c r="W138" s="36" t="str">
        <f aca="false">IF($A138="","",IF($X138="","OK","REVIEW"))</f>
        <v/>
      </c>
      <c r="X138" s="28" t="str">
        <f aca="false">IF($A138="","",TRIM(IF($B138="","Missing vendor ID. ","")&amp;IF($C138="NOT FOUND","Vendor ID not in Vendor Master. ","")&amp;IF(COUNTIFS('Invoice &amp; Delivery Log'!$A$8:$A$157,$A138)&gt;1,"Duplicate invoice ID. ","")&amp;IF(AND($D138&lt;&gt;"",COUNTIFS('Invoice &amp; Delivery Log'!$D$8:$D$157,$D138,'Invoice &amp; Delivery Log'!$B$8:$B$157,$B138)&gt;1),"Duplicate supplier invoice number. ","")&amp;IF($E138="","Missing PO number. ","")&amp;IF($H138="","Missing invoice date. ","")&amp;IF(N($N138)&lt;=0,"Invoice amount must be greater than zero. ","")&amp;IF(AND($H138&lt;&gt;"",$H138&gt;Settings!$C$5),"Invoice date is in the future. ","")&amp;IF(AND($K138="Received in Full",$J138=""),"Missing actual delivery date. ","")&amp;IF(ROUND(N($O138)-N($N138),2)&gt;0,"Payments exceed the invoice amount. ","")&amp;IF(AND($K138="Rejected",N($O138)&gt;0),"Payment made on a rejected delivery. ","")&amp;IF(AND($B138&lt;&gt;"",IFERROR(INDEX('Vendor Master'!$H$8:$H$47,MATCH($B138,'Vendor Master'!$A$8:$A$47,0)),"")="Inactive",ROUND(N($P138),2)&gt;0),"Open balance with an inactive vendor. ","")))</f>
        <v/>
      </c>
      <c r="Y138" s="36" t="str">
        <f aca="false">IF($A138="","",IF(ROUND($P138,2)&gt;0.004,"Yes","No"))</f>
        <v/>
      </c>
      <c r="Z138" s="29" t="str">
        <f aca="false">IF(OR($Y138&lt;&gt;"Yes",$M138=""),"",COUNTIFS('Invoice &amp; Delivery Log'!$Y$8:$Y$157,"Yes",'Invoice &amp; Delivery Log'!$M$8:$M$157,"&lt;"&amp;$M138)+COUNTIFS('Invoice &amp; Delivery Log'!$Y$8:$Y$157,"Yes",'Invoice &amp; Delivery Log'!$M$8:$M$157,$M138,'Invoice &amp; Delivery Log'!$A$8:$A$157,"&lt;"&amp;$A138)+1)</f>
        <v/>
      </c>
    </row>
    <row r="139" customFormat="false" ht="15" hidden="false" customHeight="true" outlineLevel="0" collapsed="false">
      <c r="A139" s="44"/>
      <c r="B139" s="44"/>
      <c r="C139" s="59" t="str">
        <f aca="false">IF($B139="","",IFERROR(INDEX('Vendor Master'!$B$8:$B$47,MATCH($B139,'Vendor Master'!$A$8:$A$47,0)),"NOT FOUND"))</f>
        <v/>
      </c>
      <c r="D139" s="44"/>
      <c r="E139" s="45"/>
      <c r="F139" s="59" t="str">
        <f aca="false">IF($B139="","",IFERROR(INDEX('Vendor Master'!$C$8:$C$47,MATCH($B139,'Vendor Master'!$A$8:$A$47,0)),""))</f>
        <v/>
      </c>
      <c r="G139" s="45"/>
      <c r="H139" s="56"/>
      <c r="I139" s="56"/>
      <c r="J139" s="56"/>
      <c r="K139" s="44"/>
      <c r="L139" s="60" t="str">
        <f aca="false">IF($B139="","",IFERROR(INDEX('Vendor Master'!$G$8:$G$47,MATCH($B139,'Vendor Master'!$A$8:$A$47,0)),""))</f>
        <v/>
      </c>
      <c r="M139" s="61" t="str">
        <f aca="false">IF(OR($H139="",$L139=""),"",$H139+$L139)</f>
        <v/>
      </c>
      <c r="N139" s="58"/>
      <c r="O139" s="50" t="str">
        <f aca="false">IF($A139="","",SUMIFS('Payments Log'!$F$8:$F$207,'Payments Log'!$B$8:$B$207,$A139))</f>
        <v/>
      </c>
      <c r="P139" s="50" t="str">
        <f aca="false">IF($A139="","",ROUND($N139-$O139,2))</f>
        <v/>
      </c>
      <c r="Q139" s="53" t="str">
        <f aca="false">IF($A139="","",IF(N($N139)&lt;=0,"Check Amount",IF(ROUND($O139,2)&lt;=0,"Unpaid",IF(ROUND($O139-$N139,2)&gt;0,"Overpaid",IF(ROUND($P139,2)&lt;=0,"Paid","Partially Paid")))))</f>
        <v/>
      </c>
      <c r="R139" s="52" t="str">
        <f aca="false">IF(OR($A139="",$M139=""),"",IF(ROUND($P139,2)&lt;=0,0,MAX(0,Settings!$C$5-$M139-Settings!$C$7)))</f>
        <v/>
      </c>
      <c r="S139" s="50" t="str">
        <f aca="false">IF($A139="","",IF(N($R139)&gt;0,MAX($P139,0),0))</f>
        <v/>
      </c>
      <c r="T139" s="53" t="str">
        <f aca="false">IF($A139="","",IF(ROUND($P139,2)&lt;0,"Supplier Credit",IF(ROUND($P139,2)=0,"Closed",IF($M139="","No Due Date",IF(N($R139)&lt;=0,"Not Due Yet",IF(N($R139)&lt;=Settings!$C$8,"1-30 Days Overdue",IF(N($R139)&lt;=Settings!$C$9,"31-60 Days Overdue",IF(N($R139)&lt;=Settings!$C$10,"61-90 Days Overdue","90+ Days Overdue"))))))))</f>
        <v/>
      </c>
      <c r="U139" s="61" t="str">
        <f aca="false">IF($A139="","",IF(COUNTIFS('Payments Log'!$B$8:$B$207,$A139)=0,"",SUMPRODUCT(MAX(('Payments Log'!$B$8:$B$207=$A139)*'Payments Log'!$E$8:$E$207))))</f>
        <v/>
      </c>
      <c r="V139" s="53" t="str">
        <f aca="false">IF($A139="","",IF($J139="","Not Delivered",IF($I139="","No Target Date",IF($J139&lt;=$I139,"On Time","Late"))))</f>
        <v/>
      </c>
      <c r="W139" s="53" t="str">
        <f aca="false">IF($A139="","",IF($X139="","OK","REVIEW"))</f>
        <v/>
      </c>
      <c r="X139" s="62" t="str">
        <f aca="false">IF($A139="","",TRIM(IF($B139="","Missing vendor ID. ","")&amp;IF($C139="NOT FOUND","Vendor ID not in Vendor Master. ","")&amp;IF(COUNTIFS('Invoice &amp; Delivery Log'!$A$8:$A$157,$A139)&gt;1,"Duplicate invoice ID. ","")&amp;IF(AND($D139&lt;&gt;"",COUNTIFS('Invoice &amp; Delivery Log'!$D$8:$D$157,$D139,'Invoice &amp; Delivery Log'!$B$8:$B$157,$B139)&gt;1),"Duplicate supplier invoice number. ","")&amp;IF($E139="","Missing PO number. ","")&amp;IF($H139="","Missing invoice date. ","")&amp;IF(N($N139)&lt;=0,"Invoice amount must be greater than zero. ","")&amp;IF(AND($H139&lt;&gt;"",$H139&gt;Settings!$C$5),"Invoice date is in the future. ","")&amp;IF(AND($K139="Received in Full",$J139=""),"Missing actual delivery date. ","")&amp;IF(ROUND(N($O139)-N($N139),2)&gt;0,"Payments exceed the invoice amount. ","")&amp;IF(AND($K139="Rejected",N($O139)&gt;0),"Payment made on a rejected delivery. ","")&amp;IF(AND($B139&lt;&gt;"",IFERROR(INDEX('Vendor Master'!$H$8:$H$47,MATCH($B139,'Vendor Master'!$A$8:$A$47,0)),"")="Inactive",ROUND(N($P139),2)&gt;0),"Open balance with an inactive vendor. ","")))</f>
        <v/>
      </c>
      <c r="Y139" s="53" t="str">
        <f aca="false">IF($A139="","",IF(ROUND($P139,2)&gt;0.004,"Yes","No"))</f>
        <v/>
      </c>
      <c r="Z139" s="49" t="str">
        <f aca="false">IF(OR($Y139&lt;&gt;"Yes",$M139=""),"",COUNTIFS('Invoice &amp; Delivery Log'!$Y$8:$Y$157,"Yes",'Invoice &amp; Delivery Log'!$M$8:$M$157,"&lt;"&amp;$M139)+COUNTIFS('Invoice &amp; Delivery Log'!$Y$8:$Y$157,"Yes",'Invoice &amp; Delivery Log'!$M$8:$M$157,$M139,'Invoice &amp; Delivery Log'!$A$8:$A$157,"&lt;"&amp;$A139)+1)</f>
        <v/>
      </c>
    </row>
    <row r="140" customFormat="false" ht="15" hidden="false" customHeight="true" outlineLevel="0" collapsed="false">
      <c r="A140" s="44"/>
      <c r="B140" s="44"/>
      <c r="C140" s="55" t="str">
        <f aca="false">IF($B140="","",IFERROR(INDEX('Vendor Master'!$B$8:$B$47,MATCH($B140,'Vendor Master'!$A$8:$A$47,0)),"NOT FOUND"))</f>
        <v/>
      </c>
      <c r="D140" s="44"/>
      <c r="E140" s="45"/>
      <c r="F140" s="55" t="str">
        <f aca="false">IF($B140="","",IFERROR(INDEX('Vendor Master'!$C$8:$C$47,MATCH($B140,'Vendor Master'!$A$8:$A$47,0)),""))</f>
        <v/>
      </c>
      <c r="G140" s="45"/>
      <c r="H140" s="56"/>
      <c r="I140" s="56"/>
      <c r="J140" s="56"/>
      <c r="K140" s="44"/>
      <c r="L140" s="57" t="str">
        <f aca="false">IF($B140="","",IFERROR(INDEX('Vendor Master'!$G$8:$G$47,MATCH($B140,'Vendor Master'!$A$8:$A$47,0)),""))</f>
        <v/>
      </c>
      <c r="M140" s="37" t="str">
        <f aca="false">IF(OR($H140="",$L140=""),"",$H140+$L140)</f>
        <v/>
      </c>
      <c r="N140" s="58"/>
      <c r="O140" s="30" t="str">
        <f aca="false">IF($A140="","",SUMIFS('Payments Log'!$F$8:$F$207,'Payments Log'!$B$8:$B$207,$A140))</f>
        <v/>
      </c>
      <c r="P140" s="30" t="str">
        <f aca="false">IF($A140="","",ROUND($N140-$O140,2))</f>
        <v/>
      </c>
      <c r="Q140" s="36" t="str">
        <f aca="false">IF($A140="","",IF(N($N140)&lt;=0,"Check Amount",IF(ROUND($O140,2)&lt;=0,"Unpaid",IF(ROUND($O140-$N140,2)&gt;0,"Overpaid",IF(ROUND($P140,2)&lt;=0,"Paid","Partially Paid")))))</f>
        <v/>
      </c>
      <c r="R140" s="47" t="str">
        <f aca="false">IF(OR($A140="",$M140=""),"",IF(ROUND($P140,2)&lt;=0,0,MAX(0,Settings!$C$5-$M140-Settings!$C$7)))</f>
        <v/>
      </c>
      <c r="S140" s="30" t="str">
        <f aca="false">IF($A140="","",IF(N($R140)&gt;0,MAX($P140,0),0))</f>
        <v/>
      </c>
      <c r="T140" s="36" t="str">
        <f aca="false">IF($A140="","",IF(ROUND($P140,2)&lt;0,"Supplier Credit",IF(ROUND($P140,2)=0,"Closed",IF($M140="","No Due Date",IF(N($R140)&lt;=0,"Not Due Yet",IF(N($R140)&lt;=Settings!$C$8,"1-30 Days Overdue",IF(N($R140)&lt;=Settings!$C$9,"31-60 Days Overdue",IF(N($R140)&lt;=Settings!$C$10,"61-90 Days Overdue","90+ Days Overdue"))))))))</f>
        <v/>
      </c>
      <c r="U140" s="37" t="str">
        <f aca="false">IF($A140="","",IF(COUNTIFS('Payments Log'!$B$8:$B$207,$A140)=0,"",SUMPRODUCT(MAX(('Payments Log'!$B$8:$B$207=$A140)*'Payments Log'!$E$8:$E$207))))</f>
        <v/>
      </c>
      <c r="V140" s="36" t="str">
        <f aca="false">IF($A140="","",IF($J140="","Not Delivered",IF($I140="","No Target Date",IF($J140&lt;=$I140,"On Time","Late"))))</f>
        <v/>
      </c>
      <c r="W140" s="36" t="str">
        <f aca="false">IF($A140="","",IF($X140="","OK","REVIEW"))</f>
        <v/>
      </c>
      <c r="X140" s="28" t="str">
        <f aca="false">IF($A140="","",TRIM(IF($B140="","Missing vendor ID. ","")&amp;IF($C140="NOT FOUND","Vendor ID not in Vendor Master. ","")&amp;IF(COUNTIFS('Invoice &amp; Delivery Log'!$A$8:$A$157,$A140)&gt;1,"Duplicate invoice ID. ","")&amp;IF(AND($D140&lt;&gt;"",COUNTIFS('Invoice &amp; Delivery Log'!$D$8:$D$157,$D140,'Invoice &amp; Delivery Log'!$B$8:$B$157,$B140)&gt;1),"Duplicate supplier invoice number. ","")&amp;IF($E140="","Missing PO number. ","")&amp;IF($H140="","Missing invoice date. ","")&amp;IF(N($N140)&lt;=0,"Invoice amount must be greater than zero. ","")&amp;IF(AND($H140&lt;&gt;"",$H140&gt;Settings!$C$5),"Invoice date is in the future. ","")&amp;IF(AND($K140="Received in Full",$J140=""),"Missing actual delivery date. ","")&amp;IF(ROUND(N($O140)-N($N140),2)&gt;0,"Payments exceed the invoice amount. ","")&amp;IF(AND($K140="Rejected",N($O140)&gt;0),"Payment made on a rejected delivery. ","")&amp;IF(AND($B140&lt;&gt;"",IFERROR(INDEX('Vendor Master'!$H$8:$H$47,MATCH($B140,'Vendor Master'!$A$8:$A$47,0)),"")="Inactive",ROUND(N($P140),2)&gt;0),"Open balance with an inactive vendor. ","")))</f>
        <v/>
      </c>
      <c r="Y140" s="36" t="str">
        <f aca="false">IF($A140="","",IF(ROUND($P140,2)&gt;0.004,"Yes","No"))</f>
        <v/>
      </c>
      <c r="Z140" s="29" t="str">
        <f aca="false">IF(OR($Y140&lt;&gt;"Yes",$M140=""),"",COUNTIFS('Invoice &amp; Delivery Log'!$Y$8:$Y$157,"Yes",'Invoice &amp; Delivery Log'!$M$8:$M$157,"&lt;"&amp;$M140)+COUNTIFS('Invoice &amp; Delivery Log'!$Y$8:$Y$157,"Yes",'Invoice &amp; Delivery Log'!$M$8:$M$157,$M140,'Invoice &amp; Delivery Log'!$A$8:$A$157,"&lt;"&amp;$A140)+1)</f>
        <v/>
      </c>
    </row>
    <row r="141" customFormat="false" ht="15" hidden="false" customHeight="true" outlineLevel="0" collapsed="false">
      <c r="A141" s="44"/>
      <c r="B141" s="44"/>
      <c r="C141" s="59" t="str">
        <f aca="false">IF($B141="","",IFERROR(INDEX('Vendor Master'!$B$8:$B$47,MATCH($B141,'Vendor Master'!$A$8:$A$47,0)),"NOT FOUND"))</f>
        <v/>
      </c>
      <c r="D141" s="44"/>
      <c r="E141" s="45"/>
      <c r="F141" s="59" t="str">
        <f aca="false">IF($B141="","",IFERROR(INDEX('Vendor Master'!$C$8:$C$47,MATCH($B141,'Vendor Master'!$A$8:$A$47,0)),""))</f>
        <v/>
      </c>
      <c r="G141" s="45"/>
      <c r="H141" s="56"/>
      <c r="I141" s="56"/>
      <c r="J141" s="56"/>
      <c r="K141" s="44"/>
      <c r="L141" s="60" t="str">
        <f aca="false">IF($B141="","",IFERROR(INDEX('Vendor Master'!$G$8:$G$47,MATCH($B141,'Vendor Master'!$A$8:$A$47,0)),""))</f>
        <v/>
      </c>
      <c r="M141" s="61" t="str">
        <f aca="false">IF(OR($H141="",$L141=""),"",$H141+$L141)</f>
        <v/>
      </c>
      <c r="N141" s="58"/>
      <c r="O141" s="50" t="str">
        <f aca="false">IF($A141="","",SUMIFS('Payments Log'!$F$8:$F$207,'Payments Log'!$B$8:$B$207,$A141))</f>
        <v/>
      </c>
      <c r="P141" s="50" t="str">
        <f aca="false">IF($A141="","",ROUND($N141-$O141,2))</f>
        <v/>
      </c>
      <c r="Q141" s="53" t="str">
        <f aca="false">IF($A141="","",IF(N($N141)&lt;=0,"Check Amount",IF(ROUND($O141,2)&lt;=0,"Unpaid",IF(ROUND($O141-$N141,2)&gt;0,"Overpaid",IF(ROUND($P141,2)&lt;=0,"Paid","Partially Paid")))))</f>
        <v/>
      </c>
      <c r="R141" s="52" t="str">
        <f aca="false">IF(OR($A141="",$M141=""),"",IF(ROUND($P141,2)&lt;=0,0,MAX(0,Settings!$C$5-$M141-Settings!$C$7)))</f>
        <v/>
      </c>
      <c r="S141" s="50" t="str">
        <f aca="false">IF($A141="","",IF(N($R141)&gt;0,MAX($P141,0),0))</f>
        <v/>
      </c>
      <c r="T141" s="53" t="str">
        <f aca="false">IF($A141="","",IF(ROUND($P141,2)&lt;0,"Supplier Credit",IF(ROUND($P141,2)=0,"Closed",IF($M141="","No Due Date",IF(N($R141)&lt;=0,"Not Due Yet",IF(N($R141)&lt;=Settings!$C$8,"1-30 Days Overdue",IF(N($R141)&lt;=Settings!$C$9,"31-60 Days Overdue",IF(N($R141)&lt;=Settings!$C$10,"61-90 Days Overdue","90+ Days Overdue"))))))))</f>
        <v/>
      </c>
      <c r="U141" s="61" t="str">
        <f aca="false">IF($A141="","",IF(COUNTIFS('Payments Log'!$B$8:$B$207,$A141)=0,"",SUMPRODUCT(MAX(('Payments Log'!$B$8:$B$207=$A141)*'Payments Log'!$E$8:$E$207))))</f>
        <v/>
      </c>
      <c r="V141" s="53" t="str">
        <f aca="false">IF($A141="","",IF($J141="","Not Delivered",IF($I141="","No Target Date",IF($J141&lt;=$I141,"On Time","Late"))))</f>
        <v/>
      </c>
      <c r="W141" s="53" t="str">
        <f aca="false">IF($A141="","",IF($X141="","OK","REVIEW"))</f>
        <v/>
      </c>
      <c r="X141" s="62" t="str">
        <f aca="false">IF($A141="","",TRIM(IF($B141="","Missing vendor ID. ","")&amp;IF($C141="NOT FOUND","Vendor ID not in Vendor Master. ","")&amp;IF(COUNTIFS('Invoice &amp; Delivery Log'!$A$8:$A$157,$A141)&gt;1,"Duplicate invoice ID. ","")&amp;IF(AND($D141&lt;&gt;"",COUNTIFS('Invoice &amp; Delivery Log'!$D$8:$D$157,$D141,'Invoice &amp; Delivery Log'!$B$8:$B$157,$B141)&gt;1),"Duplicate supplier invoice number. ","")&amp;IF($E141="","Missing PO number. ","")&amp;IF($H141="","Missing invoice date. ","")&amp;IF(N($N141)&lt;=0,"Invoice amount must be greater than zero. ","")&amp;IF(AND($H141&lt;&gt;"",$H141&gt;Settings!$C$5),"Invoice date is in the future. ","")&amp;IF(AND($K141="Received in Full",$J141=""),"Missing actual delivery date. ","")&amp;IF(ROUND(N($O141)-N($N141),2)&gt;0,"Payments exceed the invoice amount. ","")&amp;IF(AND($K141="Rejected",N($O141)&gt;0),"Payment made on a rejected delivery. ","")&amp;IF(AND($B141&lt;&gt;"",IFERROR(INDEX('Vendor Master'!$H$8:$H$47,MATCH($B141,'Vendor Master'!$A$8:$A$47,0)),"")="Inactive",ROUND(N($P141),2)&gt;0),"Open balance with an inactive vendor. ","")))</f>
        <v/>
      </c>
      <c r="Y141" s="53" t="str">
        <f aca="false">IF($A141="","",IF(ROUND($P141,2)&gt;0.004,"Yes","No"))</f>
        <v/>
      </c>
      <c r="Z141" s="49" t="str">
        <f aca="false">IF(OR($Y141&lt;&gt;"Yes",$M141=""),"",COUNTIFS('Invoice &amp; Delivery Log'!$Y$8:$Y$157,"Yes",'Invoice &amp; Delivery Log'!$M$8:$M$157,"&lt;"&amp;$M141)+COUNTIFS('Invoice &amp; Delivery Log'!$Y$8:$Y$157,"Yes",'Invoice &amp; Delivery Log'!$M$8:$M$157,$M141,'Invoice &amp; Delivery Log'!$A$8:$A$157,"&lt;"&amp;$A141)+1)</f>
        <v/>
      </c>
    </row>
    <row r="142" customFormat="false" ht="15" hidden="false" customHeight="true" outlineLevel="0" collapsed="false">
      <c r="A142" s="44"/>
      <c r="B142" s="44"/>
      <c r="C142" s="55" t="str">
        <f aca="false">IF($B142="","",IFERROR(INDEX('Vendor Master'!$B$8:$B$47,MATCH($B142,'Vendor Master'!$A$8:$A$47,0)),"NOT FOUND"))</f>
        <v/>
      </c>
      <c r="D142" s="44"/>
      <c r="E142" s="45"/>
      <c r="F142" s="55" t="str">
        <f aca="false">IF($B142="","",IFERROR(INDEX('Vendor Master'!$C$8:$C$47,MATCH($B142,'Vendor Master'!$A$8:$A$47,0)),""))</f>
        <v/>
      </c>
      <c r="G142" s="45"/>
      <c r="H142" s="56"/>
      <c r="I142" s="56"/>
      <c r="J142" s="56"/>
      <c r="K142" s="44"/>
      <c r="L142" s="57" t="str">
        <f aca="false">IF($B142="","",IFERROR(INDEX('Vendor Master'!$G$8:$G$47,MATCH($B142,'Vendor Master'!$A$8:$A$47,0)),""))</f>
        <v/>
      </c>
      <c r="M142" s="37" t="str">
        <f aca="false">IF(OR($H142="",$L142=""),"",$H142+$L142)</f>
        <v/>
      </c>
      <c r="N142" s="58"/>
      <c r="O142" s="30" t="str">
        <f aca="false">IF($A142="","",SUMIFS('Payments Log'!$F$8:$F$207,'Payments Log'!$B$8:$B$207,$A142))</f>
        <v/>
      </c>
      <c r="P142" s="30" t="str">
        <f aca="false">IF($A142="","",ROUND($N142-$O142,2))</f>
        <v/>
      </c>
      <c r="Q142" s="36" t="str">
        <f aca="false">IF($A142="","",IF(N($N142)&lt;=0,"Check Amount",IF(ROUND($O142,2)&lt;=0,"Unpaid",IF(ROUND($O142-$N142,2)&gt;0,"Overpaid",IF(ROUND($P142,2)&lt;=0,"Paid","Partially Paid")))))</f>
        <v/>
      </c>
      <c r="R142" s="47" t="str">
        <f aca="false">IF(OR($A142="",$M142=""),"",IF(ROUND($P142,2)&lt;=0,0,MAX(0,Settings!$C$5-$M142-Settings!$C$7)))</f>
        <v/>
      </c>
      <c r="S142" s="30" t="str">
        <f aca="false">IF($A142="","",IF(N($R142)&gt;0,MAX($P142,0),0))</f>
        <v/>
      </c>
      <c r="T142" s="36" t="str">
        <f aca="false">IF($A142="","",IF(ROUND($P142,2)&lt;0,"Supplier Credit",IF(ROUND($P142,2)=0,"Closed",IF($M142="","No Due Date",IF(N($R142)&lt;=0,"Not Due Yet",IF(N($R142)&lt;=Settings!$C$8,"1-30 Days Overdue",IF(N($R142)&lt;=Settings!$C$9,"31-60 Days Overdue",IF(N($R142)&lt;=Settings!$C$10,"61-90 Days Overdue","90+ Days Overdue"))))))))</f>
        <v/>
      </c>
      <c r="U142" s="37" t="str">
        <f aca="false">IF($A142="","",IF(COUNTIFS('Payments Log'!$B$8:$B$207,$A142)=0,"",SUMPRODUCT(MAX(('Payments Log'!$B$8:$B$207=$A142)*'Payments Log'!$E$8:$E$207))))</f>
        <v/>
      </c>
      <c r="V142" s="36" t="str">
        <f aca="false">IF($A142="","",IF($J142="","Not Delivered",IF($I142="","No Target Date",IF($J142&lt;=$I142,"On Time","Late"))))</f>
        <v/>
      </c>
      <c r="W142" s="36" t="str">
        <f aca="false">IF($A142="","",IF($X142="","OK","REVIEW"))</f>
        <v/>
      </c>
      <c r="X142" s="28" t="str">
        <f aca="false">IF($A142="","",TRIM(IF($B142="","Missing vendor ID. ","")&amp;IF($C142="NOT FOUND","Vendor ID not in Vendor Master. ","")&amp;IF(COUNTIFS('Invoice &amp; Delivery Log'!$A$8:$A$157,$A142)&gt;1,"Duplicate invoice ID. ","")&amp;IF(AND($D142&lt;&gt;"",COUNTIFS('Invoice &amp; Delivery Log'!$D$8:$D$157,$D142,'Invoice &amp; Delivery Log'!$B$8:$B$157,$B142)&gt;1),"Duplicate supplier invoice number. ","")&amp;IF($E142="","Missing PO number. ","")&amp;IF($H142="","Missing invoice date. ","")&amp;IF(N($N142)&lt;=0,"Invoice amount must be greater than zero. ","")&amp;IF(AND($H142&lt;&gt;"",$H142&gt;Settings!$C$5),"Invoice date is in the future. ","")&amp;IF(AND($K142="Received in Full",$J142=""),"Missing actual delivery date. ","")&amp;IF(ROUND(N($O142)-N($N142),2)&gt;0,"Payments exceed the invoice amount. ","")&amp;IF(AND($K142="Rejected",N($O142)&gt;0),"Payment made on a rejected delivery. ","")&amp;IF(AND($B142&lt;&gt;"",IFERROR(INDEX('Vendor Master'!$H$8:$H$47,MATCH($B142,'Vendor Master'!$A$8:$A$47,0)),"")="Inactive",ROUND(N($P142),2)&gt;0),"Open balance with an inactive vendor. ","")))</f>
        <v/>
      </c>
      <c r="Y142" s="36" t="str">
        <f aca="false">IF($A142="","",IF(ROUND($P142,2)&gt;0.004,"Yes","No"))</f>
        <v/>
      </c>
      <c r="Z142" s="29" t="str">
        <f aca="false">IF(OR($Y142&lt;&gt;"Yes",$M142=""),"",COUNTIFS('Invoice &amp; Delivery Log'!$Y$8:$Y$157,"Yes",'Invoice &amp; Delivery Log'!$M$8:$M$157,"&lt;"&amp;$M142)+COUNTIFS('Invoice &amp; Delivery Log'!$Y$8:$Y$157,"Yes",'Invoice &amp; Delivery Log'!$M$8:$M$157,$M142,'Invoice &amp; Delivery Log'!$A$8:$A$157,"&lt;"&amp;$A142)+1)</f>
        <v/>
      </c>
    </row>
    <row r="143" customFormat="false" ht="15" hidden="false" customHeight="true" outlineLevel="0" collapsed="false">
      <c r="A143" s="44"/>
      <c r="B143" s="44"/>
      <c r="C143" s="59" t="str">
        <f aca="false">IF($B143="","",IFERROR(INDEX('Vendor Master'!$B$8:$B$47,MATCH($B143,'Vendor Master'!$A$8:$A$47,0)),"NOT FOUND"))</f>
        <v/>
      </c>
      <c r="D143" s="44"/>
      <c r="E143" s="45"/>
      <c r="F143" s="59" t="str">
        <f aca="false">IF($B143="","",IFERROR(INDEX('Vendor Master'!$C$8:$C$47,MATCH($B143,'Vendor Master'!$A$8:$A$47,0)),""))</f>
        <v/>
      </c>
      <c r="G143" s="45"/>
      <c r="H143" s="56"/>
      <c r="I143" s="56"/>
      <c r="J143" s="56"/>
      <c r="K143" s="44"/>
      <c r="L143" s="60" t="str">
        <f aca="false">IF($B143="","",IFERROR(INDEX('Vendor Master'!$G$8:$G$47,MATCH($B143,'Vendor Master'!$A$8:$A$47,0)),""))</f>
        <v/>
      </c>
      <c r="M143" s="61" t="str">
        <f aca="false">IF(OR($H143="",$L143=""),"",$H143+$L143)</f>
        <v/>
      </c>
      <c r="N143" s="58"/>
      <c r="O143" s="50" t="str">
        <f aca="false">IF($A143="","",SUMIFS('Payments Log'!$F$8:$F$207,'Payments Log'!$B$8:$B$207,$A143))</f>
        <v/>
      </c>
      <c r="P143" s="50" t="str">
        <f aca="false">IF($A143="","",ROUND($N143-$O143,2))</f>
        <v/>
      </c>
      <c r="Q143" s="53" t="str">
        <f aca="false">IF($A143="","",IF(N($N143)&lt;=0,"Check Amount",IF(ROUND($O143,2)&lt;=0,"Unpaid",IF(ROUND($O143-$N143,2)&gt;0,"Overpaid",IF(ROUND($P143,2)&lt;=0,"Paid","Partially Paid")))))</f>
        <v/>
      </c>
      <c r="R143" s="52" t="str">
        <f aca="false">IF(OR($A143="",$M143=""),"",IF(ROUND($P143,2)&lt;=0,0,MAX(0,Settings!$C$5-$M143-Settings!$C$7)))</f>
        <v/>
      </c>
      <c r="S143" s="50" t="str">
        <f aca="false">IF($A143="","",IF(N($R143)&gt;0,MAX($P143,0),0))</f>
        <v/>
      </c>
      <c r="T143" s="53" t="str">
        <f aca="false">IF($A143="","",IF(ROUND($P143,2)&lt;0,"Supplier Credit",IF(ROUND($P143,2)=0,"Closed",IF($M143="","No Due Date",IF(N($R143)&lt;=0,"Not Due Yet",IF(N($R143)&lt;=Settings!$C$8,"1-30 Days Overdue",IF(N($R143)&lt;=Settings!$C$9,"31-60 Days Overdue",IF(N($R143)&lt;=Settings!$C$10,"61-90 Days Overdue","90+ Days Overdue"))))))))</f>
        <v/>
      </c>
      <c r="U143" s="61" t="str">
        <f aca="false">IF($A143="","",IF(COUNTIFS('Payments Log'!$B$8:$B$207,$A143)=0,"",SUMPRODUCT(MAX(('Payments Log'!$B$8:$B$207=$A143)*'Payments Log'!$E$8:$E$207))))</f>
        <v/>
      </c>
      <c r="V143" s="53" t="str">
        <f aca="false">IF($A143="","",IF($J143="","Not Delivered",IF($I143="","No Target Date",IF($J143&lt;=$I143,"On Time","Late"))))</f>
        <v/>
      </c>
      <c r="W143" s="53" t="str">
        <f aca="false">IF($A143="","",IF($X143="","OK","REVIEW"))</f>
        <v/>
      </c>
      <c r="X143" s="62" t="str">
        <f aca="false">IF($A143="","",TRIM(IF($B143="","Missing vendor ID. ","")&amp;IF($C143="NOT FOUND","Vendor ID not in Vendor Master. ","")&amp;IF(COUNTIFS('Invoice &amp; Delivery Log'!$A$8:$A$157,$A143)&gt;1,"Duplicate invoice ID. ","")&amp;IF(AND($D143&lt;&gt;"",COUNTIFS('Invoice &amp; Delivery Log'!$D$8:$D$157,$D143,'Invoice &amp; Delivery Log'!$B$8:$B$157,$B143)&gt;1),"Duplicate supplier invoice number. ","")&amp;IF($E143="","Missing PO number. ","")&amp;IF($H143="","Missing invoice date. ","")&amp;IF(N($N143)&lt;=0,"Invoice amount must be greater than zero. ","")&amp;IF(AND($H143&lt;&gt;"",$H143&gt;Settings!$C$5),"Invoice date is in the future. ","")&amp;IF(AND($K143="Received in Full",$J143=""),"Missing actual delivery date. ","")&amp;IF(ROUND(N($O143)-N($N143),2)&gt;0,"Payments exceed the invoice amount. ","")&amp;IF(AND($K143="Rejected",N($O143)&gt;0),"Payment made on a rejected delivery. ","")&amp;IF(AND($B143&lt;&gt;"",IFERROR(INDEX('Vendor Master'!$H$8:$H$47,MATCH($B143,'Vendor Master'!$A$8:$A$47,0)),"")="Inactive",ROUND(N($P143),2)&gt;0),"Open balance with an inactive vendor. ","")))</f>
        <v/>
      </c>
      <c r="Y143" s="53" t="str">
        <f aca="false">IF($A143="","",IF(ROUND($P143,2)&gt;0.004,"Yes","No"))</f>
        <v/>
      </c>
      <c r="Z143" s="49" t="str">
        <f aca="false">IF(OR($Y143&lt;&gt;"Yes",$M143=""),"",COUNTIFS('Invoice &amp; Delivery Log'!$Y$8:$Y$157,"Yes",'Invoice &amp; Delivery Log'!$M$8:$M$157,"&lt;"&amp;$M143)+COUNTIFS('Invoice &amp; Delivery Log'!$Y$8:$Y$157,"Yes",'Invoice &amp; Delivery Log'!$M$8:$M$157,$M143,'Invoice &amp; Delivery Log'!$A$8:$A$157,"&lt;"&amp;$A143)+1)</f>
        <v/>
      </c>
    </row>
    <row r="144" customFormat="false" ht="15" hidden="false" customHeight="true" outlineLevel="0" collapsed="false">
      <c r="A144" s="44"/>
      <c r="B144" s="44"/>
      <c r="C144" s="55" t="str">
        <f aca="false">IF($B144="","",IFERROR(INDEX('Vendor Master'!$B$8:$B$47,MATCH($B144,'Vendor Master'!$A$8:$A$47,0)),"NOT FOUND"))</f>
        <v/>
      </c>
      <c r="D144" s="44"/>
      <c r="E144" s="45"/>
      <c r="F144" s="55" t="str">
        <f aca="false">IF($B144="","",IFERROR(INDEX('Vendor Master'!$C$8:$C$47,MATCH($B144,'Vendor Master'!$A$8:$A$47,0)),""))</f>
        <v/>
      </c>
      <c r="G144" s="45"/>
      <c r="H144" s="56"/>
      <c r="I144" s="56"/>
      <c r="J144" s="56"/>
      <c r="K144" s="44"/>
      <c r="L144" s="57" t="str">
        <f aca="false">IF($B144="","",IFERROR(INDEX('Vendor Master'!$G$8:$G$47,MATCH($B144,'Vendor Master'!$A$8:$A$47,0)),""))</f>
        <v/>
      </c>
      <c r="M144" s="37" t="str">
        <f aca="false">IF(OR($H144="",$L144=""),"",$H144+$L144)</f>
        <v/>
      </c>
      <c r="N144" s="58"/>
      <c r="O144" s="30" t="str">
        <f aca="false">IF($A144="","",SUMIFS('Payments Log'!$F$8:$F$207,'Payments Log'!$B$8:$B$207,$A144))</f>
        <v/>
      </c>
      <c r="P144" s="30" t="str">
        <f aca="false">IF($A144="","",ROUND($N144-$O144,2))</f>
        <v/>
      </c>
      <c r="Q144" s="36" t="str">
        <f aca="false">IF($A144="","",IF(N($N144)&lt;=0,"Check Amount",IF(ROUND($O144,2)&lt;=0,"Unpaid",IF(ROUND($O144-$N144,2)&gt;0,"Overpaid",IF(ROUND($P144,2)&lt;=0,"Paid","Partially Paid")))))</f>
        <v/>
      </c>
      <c r="R144" s="47" t="str">
        <f aca="false">IF(OR($A144="",$M144=""),"",IF(ROUND($P144,2)&lt;=0,0,MAX(0,Settings!$C$5-$M144-Settings!$C$7)))</f>
        <v/>
      </c>
      <c r="S144" s="30" t="str">
        <f aca="false">IF($A144="","",IF(N($R144)&gt;0,MAX($P144,0),0))</f>
        <v/>
      </c>
      <c r="T144" s="36" t="str">
        <f aca="false">IF($A144="","",IF(ROUND($P144,2)&lt;0,"Supplier Credit",IF(ROUND($P144,2)=0,"Closed",IF($M144="","No Due Date",IF(N($R144)&lt;=0,"Not Due Yet",IF(N($R144)&lt;=Settings!$C$8,"1-30 Days Overdue",IF(N($R144)&lt;=Settings!$C$9,"31-60 Days Overdue",IF(N($R144)&lt;=Settings!$C$10,"61-90 Days Overdue","90+ Days Overdue"))))))))</f>
        <v/>
      </c>
      <c r="U144" s="37" t="str">
        <f aca="false">IF($A144="","",IF(COUNTIFS('Payments Log'!$B$8:$B$207,$A144)=0,"",SUMPRODUCT(MAX(('Payments Log'!$B$8:$B$207=$A144)*'Payments Log'!$E$8:$E$207))))</f>
        <v/>
      </c>
      <c r="V144" s="36" t="str">
        <f aca="false">IF($A144="","",IF($J144="","Not Delivered",IF($I144="","No Target Date",IF($J144&lt;=$I144,"On Time","Late"))))</f>
        <v/>
      </c>
      <c r="W144" s="36" t="str">
        <f aca="false">IF($A144="","",IF($X144="","OK","REVIEW"))</f>
        <v/>
      </c>
      <c r="X144" s="28" t="str">
        <f aca="false">IF($A144="","",TRIM(IF($B144="","Missing vendor ID. ","")&amp;IF($C144="NOT FOUND","Vendor ID not in Vendor Master. ","")&amp;IF(COUNTIFS('Invoice &amp; Delivery Log'!$A$8:$A$157,$A144)&gt;1,"Duplicate invoice ID. ","")&amp;IF(AND($D144&lt;&gt;"",COUNTIFS('Invoice &amp; Delivery Log'!$D$8:$D$157,$D144,'Invoice &amp; Delivery Log'!$B$8:$B$157,$B144)&gt;1),"Duplicate supplier invoice number. ","")&amp;IF($E144="","Missing PO number. ","")&amp;IF($H144="","Missing invoice date. ","")&amp;IF(N($N144)&lt;=0,"Invoice amount must be greater than zero. ","")&amp;IF(AND($H144&lt;&gt;"",$H144&gt;Settings!$C$5),"Invoice date is in the future. ","")&amp;IF(AND($K144="Received in Full",$J144=""),"Missing actual delivery date. ","")&amp;IF(ROUND(N($O144)-N($N144),2)&gt;0,"Payments exceed the invoice amount. ","")&amp;IF(AND($K144="Rejected",N($O144)&gt;0),"Payment made on a rejected delivery. ","")&amp;IF(AND($B144&lt;&gt;"",IFERROR(INDEX('Vendor Master'!$H$8:$H$47,MATCH($B144,'Vendor Master'!$A$8:$A$47,0)),"")="Inactive",ROUND(N($P144),2)&gt;0),"Open balance with an inactive vendor. ","")))</f>
        <v/>
      </c>
      <c r="Y144" s="36" t="str">
        <f aca="false">IF($A144="","",IF(ROUND($P144,2)&gt;0.004,"Yes","No"))</f>
        <v/>
      </c>
      <c r="Z144" s="29" t="str">
        <f aca="false">IF(OR($Y144&lt;&gt;"Yes",$M144=""),"",COUNTIFS('Invoice &amp; Delivery Log'!$Y$8:$Y$157,"Yes",'Invoice &amp; Delivery Log'!$M$8:$M$157,"&lt;"&amp;$M144)+COUNTIFS('Invoice &amp; Delivery Log'!$Y$8:$Y$157,"Yes",'Invoice &amp; Delivery Log'!$M$8:$M$157,$M144,'Invoice &amp; Delivery Log'!$A$8:$A$157,"&lt;"&amp;$A144)+1)</f>
        <v/>
      </c>
    </row>
    <row r="145" customFormat="false" ht="15" hidden="false" customHeight="true" outlineLevel="0" collapsed="false">
      <c r="A145" s="44"/>
      <c r="B145" s="44"/>
      <c r="C145" s="59" t="str">
        <f aca="false">IF($B145="","",IFERROR(INDEX('Vendor Master'!$B$8:$B$47,MATCH($B145,'Vendor Master'!$A$8:$A$47,0)),"NOT FOUND"))</f>
        <v/>
      </c>
      <c r="D145" s="44"/>
      <c r="E145" s="45"/>
      <c r="F145" s="59" t="str">
        <f aca="false">IF($B145="","",IFERROR(INDEX('Vendor Master'!$C$8:$C$47,MATCH($B145,'Vendor Master'!$A$8:$A$47,0)),""))</f>
        <v/>
      </c>
      <c r="G145" s="45"/>
      <c r="H145" s="56"/>
      <c r="I145" s="56"/>
      <c r="J145" s="56"/>
      <c r="K145" s="44"/>
      <c r="L145" s="60" t="str">
        <f aca="false">IF($B145="","",IFERROR(INDEX('Vendor Master'!$G$8:$G$47,MATCH($B145,'Vendor Master'!$A$8:$A$47,0)),""))</f>
        <v/>
      </c>
      <c r="M145" s="61" t="str">
        <f aca="false">IF(OR($H145="",$L145=""),"",$H145+$L145)</f>
        <v/>
      </c>
      <c r="N145" s="58"/>
      <c r="O145" s="50" t="str">
        <f aca="false">IF($A145="","",SUMIFS('Payments Log'!$F$8:$F$207,'Payments Log'!$B$8:$B$207,$A145))</f>
        <v/>
      </c>
      <c r="P145" s="50" t="str">
        <f aca="false">IF($A145="","",ROUND($N145-$O145,2))</f>
        <v/>
      </c>
      <c r="Q145" s="53" t="str">
        <f aca="false">IF($A145="","",IF(N($N145)&lt;=0,"Check Amount",IF(ROUND($O145,2)&lt;=0,"Unpaid",IF(ROUND($O145-$N145,2)&gt;0,"Overpaid",IF(ROUND($P145,2)&lt;=0,"Paid","Partially Paid")))))</f>
        <v/>
      </c>
      <c r="R145" s="52" t="str">
        <f aca="false">IF(OR($A145="",$M145=""),"",IF(ROUND($P145,2)&lt;=0,0,MAX(0,Settings!$C$5-$M145-Settings!$C$7)))</f>
        <v/>
      </c>
      <c r="S145" s="50" t="str">
        <f aca="false">IF($A145="","",IF(N($R145)&gt;0,MAX($P145,0),0))</f>
        <v/>
      </c>
      <c r="T145" s="53" t="str">
        <f aca="false">IF($A145="","",IF(ROUND($P145,2)&lt;0,"Supplier Credit",IF(ROUND($P145,2)=0,"Closed",IF($M145="","No Due Date",IF(N($R145)&lt;=0,"Not Due Yet",IF(N($R145)&lt;=Settings!$C$8,"1-30 Days Overdue",IF(N($R145)&lt;=Settings!$C$9,"31-60 Days Overdue",IF(N($R145)&lt;=Settings!$C$10,"61-90 Days Overdue","90+ Days Overdue"))))))))</f>
        <v/>
      </c>
      <c r="U145" s="61" t="str">
        <f aca="false">IF($A145="","",IF(COUNTIFS('Payments Log'!$B$8:$B$207,$A145)=0,"",SUMPRODUCT(MAX(('Payments Log'!$B$8:$B$207=$A145)*'Payments Log'!$E$8:$E$207))))</f>
        <v/>
      </c>
      <c r="V145" s="53" t="str">
        <f aca="false">IF($A145="","",IF($J145="","Not Delivered",IF($I145="","No Target Date",IF($J145&lt;=$I145,"On Time","Late"))))</f>
        <v/>
      </c>
      <c r="W145" s="53" t="str">
        <f aca="false">IF($A145="","",IF($X145="","OK","REVIEW"))</f>
        <v/>
      </c>
      <c r="X145" s="62" t="str">
        <f aca="false">IF($A145="","",TRIM(IF($B145="","Missing vendor ID. ","")&amp;IF($C145="NOT FOUND","Vendor ID not in Vendor Master. ","")&amp;IF(COUNTIFS('Invoice &amp; Delivery Log'!$A$8:$A$157,$A145)&gt;1,"Duplicate invoice ID. ","")&amp;IF(AND($D145&lt;&gt;"",COUNTIFS('Invoice &amp; Delivery Log'!$D$8:$D$157,$D145,'Invoice &amp; Delivery Log'!$B$8:$B$157,$B145)&gt;1),"Duplicate supplier invoice number. ","")&amp;IF($E145="","Missing PO number. ","")&amp;IF($H145="","Missing invoice date. ","")&amp;IF(N($N145)&lt;=0,"Invoice amount must be greater than zero. ","")&amp;IF(AND($H145&lt;&gt;"",$H145&gt;Settings!$C$5),"Invoice date is in the future. ","")&amp;IF(AND($K145="Received in Full",$J145=""),"Missing actual delivery date. ","")&amp;IF(ROUND(N($O145)-N($N145),2)&gt;0,"Payments exceed the invoice amount. ","")&amp;IF(AND($K145="Rejected",N($O145)&gt;0),"Payment made on a rejected delivery. ","")&amp;IF(AND($B145&lt;&gt;"",IFERROR(INDEX('Vendor Master'!$H$8:$H$47,MATCH($B145,'Vendor Master'!$A$8:$A$47,0)),"")="Inactive",ROUND(N($P145),2)&gt;0),"Open balance with an inactive vendor. ","")))</f>
        <v/>
      </c>
      <c r="Y145" s="53" t="str">
        <f aca="false">IF($A145="","",IF(ROUND($P145,2)&gt;0.004,"Yes","No"))</f>
        <v/>
      </c>
      <c r="Z145" s="49" t="str">
        <f aca="false">IF(OR($Y145&lt;&gt;"Yes",$M145=""),"",COUNTIFS('Invoice &amp; Delivery Log'!$Y$8:$Y$157,"Yes",'Invoice &amp; Delivery Log'!$M$8:$M$157,"&lt;"&amp;$M145)+COUNTIFS('Invoice &amp; Delivery Log'!$Y$8:$Y$157,"Yes",'Invoice &amp; Delivery Log'!$M$8:$M$157,$M145,'Invoice &amp; Delivery Log'!$A$8:$A$157,"&lt;"&amp;$A145)+1)</f>
        <v/>
      </c>
    </row>
    <row r="146" customFormat="false" ht="15" hidden="false" customHeight="true" outlineLevel="0" collapsed="false">
      <c r="A146" s="44"/>
      <c r="B146" s="44"/>
      <c r="C146" s="55" t="str">
        <f aca="false">IF($B146="","",IFERROR(INDEX('Vendor Master'!$B$8:$B$47,MATCH($B146,'Vendor Master'!$A$8:$A$47,0)),"NOT FOUND"))</f>
        <v/>
      </c>
      <c r="D146" s="44"/>
      <c r="E146" s="45"/>
      <c r="F146" s="55" t="str">
        <f aca="false">IF($B146="","",IFERROR(INDEX('Vendor Master'!$C$8:$C$47,MATCH($B146,'Vendor Master'!$A$8:$A$47,0)),""))</f>
        <v/>
      </c>
      <c r="G146" s="45"/>
      <c r="H146" s="56"/>
      <c r="I146" s="56"/>
      <c r="J146" s="56"/>
      <c r="K146" s="44"/>
      <c r="L146" s="57" t="str">
        <f aca="false">IF($B146="","",IFERROR(INDEX('Vendor Master'!$G$8:$G$47,MATCH($B146,'Vendor Master'!$A$8:$A$47,0)),""))</f>
        <v/>
      </c>
      <c r="M146" s="37" t="str">
        <f aca="false">IF(OR($H146="",$L146=""),"",$H146+$L146)</f>
        <v/>
      </c>
      <c r="N146" s="58"/>
      <c r="O146" s="30" t="str">
        <f aca="false">IF($A146="","",SUMIFS('Payments Log'!$F$8:$F$207,'Payments Log'!$B$8:$B$207,$A146))</f>
        <v/>
      </c>
      <c r="P146" s="30" t="str">
        <f aca="false">IF($A146="","",ROUND($N146-$O146,2))</f>
        <v/>
      </c>
      <c r="Q146" s="36" t="str">
        <f aca="false">IF($A146="","",IF(N($N146)&lt;=0,"Check Amount",IF(ROUND($O146,2)&lt;=0,"Unpaid",IF(ROUND($O146-$N146,2)&gt;0,"Overpaid",IF(ROUND($P146,2)&lt;=0,"Paid","Partially Paid")))))</f>
        <v/>
      </c>
      <c r="R146" s="47" t="str">
        <f aca="false">IF(OR($A146="",$M146=""),"",IF(ROUND($P146,2)&lt;=0,0,MAX(0,Settings!$C$5-$M146-Settings!$C$7)))</f>
        <v/>
      </c>
      <c r="S146" s="30" t="str">
        <f aca="false">IF($A146="","",IF(N($R146)&gt;0,MAX($P146,0),0))</f>
        <v/>
      </c>
      <c r="T146" s="36" t="str">
        <f aca="false">IF($A146="","",IF(ROUND($P146,2)&lt;0,"Supplier Credit",IF(ROUND($P146,2)=0,"Closed",IF($M146="","No Due Date",IF(N($R146)&lt;=0,"Not Due Yet",IF(N($R146)&lt;=Settings!$C$8,"1-30 Days Overdue",IF(N($R146)&lt;=Settings!$C$9,"31-60 Days Overdue",IF(N($R146)&lt;=Settings!$C$10,"61-90 Days Overdue","90+ Days Overdue"))))))))</f>
        <v/>
      </c>
      <c r="U146" s="37" t="str">
        <f aca="false">IF($A146="","",IF(COUNTIFS('Payments Log'!$B$8:$B$207,$A146)=0,"",SUMPRODUCT(MAX(('Payments Log'!$B$8:$B$207=$A146)*'Payments Log'!$E$8:$E$207))))</f>
        <v/>
      </c>
      <c r="V146" s="36" t="str">
        <f aca="false">IF($A146="","",IF($J146="","Not Delivered",IF($I146="","No Target Date",IF($J146&lt;=$I146,"On Time","Late"))))</f>
        <v/>
      </c>
      <c r="W146" s="36" t="str">
        <f aca="false">IF($A146="","",IF($X146="","OK","REVIEW"))</f>
        <v/>
      </c>
      <c r="X146" s="28" t="str">
        <f aca="false">IF($A146="","",TRIM(IF($B146="","Missing vendor ID. ","")&amp;IF($C146="NOT FOUND","Vendor ID not in Vendor Master. ","")&amp;IF(COUNTIFS('Invoice &amp; Delivery Log'!$A$8:$A$157,$A146)&gt;1,"Duplicate invoice ID. ","")&amp;IF(AND($D146&lt;&gt;"",COUNTIFS('Invoice &amp; Delivery Log'!$D$8:$D$157,$D146,'Invoice &amp; Delivery Log'!$B$8:$B$157,$B146)&gt;1),"Duplicate supplier invoice number. ","")&amp;IF($E146="","Missing PO number. ","")&amp;IF($H146="","Missing invoice date. ","")&amp;IF(N($N146)&lt;=0,"Invoice amount must be greater than zero. ","")&amp;IF(AND($H146&lt;&gt;"",$H146&gt;Settings!$C$5),"Invoice date is in the future. ","")&amp;IF(AND($K146="Received in Full",$J146=""),"Missing actual delivery date. ","")&amp;IF(ROUND(N($O146)-N($N146),2)&gt;0,"Payments exceed the invoice amount. ","")&amp;IF(AND($K146="Rejected",N($O146)&gt;0),"Payment made on a rejected delivery. ","")&amp;IF(AND($B146&lt;&gt;"",IFERROR(INDEX('Vendor Master'!$H$8:$H$47,MATCH($B146,'Vendor Master'!$A$8:$A$47,0)),"")="Inactive",ROUND(N($P146),2)&gt;0),"Open balance with an inactive vendor. ","")))</f>
        <v/>
      </c>
      <c r="Y146" s="36" t="str">
        <f aca="false">IF($A146="","",IF(ROUND($P146,2)&gt;0.004,"Yes","No"))</f>
        <v/>
      </c>
      <c r="Z146" s="29" t="str">
        <f aca="false">IF(OR($Y146&lt;&gt;"Yes",$M146=""),"",COUNTIFS('Invoice &amp; Delivery Log'!$Y$8:$Y$157,"Yes",'Invoice &amp; Delivery Log'!$M$8:$M$157,"&lt;"&amp;$M146)+COUNTIFS('Invoice &amp; Delivery Log'!$Y$8:$Y$157,"Yes",'Invoice &amp; Delivery Log'!$M$8:$M$157,$M146,'Invoice &amp; Delivery Log'!$A$8:$A$157,"&lt;"&amp;$A146)+1)</f>
        <v/>
      </c>
    </row>
    <row r="147" customFormat="false" ht="15" hidden="false" customHeight="true" outlineLevel="0" collapsed="false">
      <c r="A147" s="44"/>
      <c r="B147" s="44"/>
      <c r="C147" s="59" t="str">
        <f aca="false">IF($B147="","",IFERROR(INDEX('Vendor Master'!$B$8:$B$47,MATCH($B147,'Vendor Master'!$A$8:$A$47,0)),"NOT FOUND"))</f>
        <v/>
      </c>
      <c r="D147" s="44"/>
      <c r="E147" s="45"/>
      <c r="F147" s="59" t="str">
        <f aca="false">IF($B147="","",IFERROR(INDEX('Vendor Master'!$C$8:$C$47,MATCH($B147,'Vendor Master'!$A$8:$A$47,0)),""))</f>
        <v/>
      </c>
      <c r="G147" s="45"/>
      <c r="H147" s="56"/>
      <c r="I147" s="56"/>
      <c r="J147" s="56"/>
      <c r="K147" s="44"/>
      <c r="L147" s="60" t="str">
        <f aca="false">IF($B147="","",IFERROR(INDEX('Vendor Master'!$G$8:$G$47,MATCH($B147,'Vendor Master'!$A$8:$A$47,0)),""))</f>
        <v/>
      </c>
      <c r="M147" s="61" t="str">
        <f aca="false">IF(OR($H147="",$L147=""),"",$H147+$L147)</f>
        <v/>
      </c>
      <c r="N147" s="58"/>
      <c r="O147" s="50" t="str">
        <f aca="false">IF($A147="","",SUMIFS('Payments Log'!$F$8:$F$207,'Payments Log'!$B$8:$B$207,$A147))</f>
        <v/>
      </c>
      <c r="P147" s="50" t="str">
        <f aca="false">IF($A147="","",ROUND($N147-$O147,2))</f>
        <v/>
      </c>
      <c r="Q147" s="53" t="str">
        <f aca="false">IF($A147="","",IF(N($N147)&lt;=0,"Check Amount",IF(ROUND($O147,2)&lt;=0,"Unpaid",IF(ROUND($O147-$N147,2)&gt;0,"Overpaid",IF(ROUND($P147,2)&lt;=0,"Paid","Partially Paid")))))</f>
        <v/>
      </c>
      <c r="R147" s="52" t="str">
        <f aca="false">IF(OR($A147="",$M147=""),"",IF(ROUND($P147,2)&lt;=0,0,MAX(0,Settings!$C$5-$M147-Settings!$C$7)))</f>
        <v/>
      </c>
      <c r="S147" s="50" t="str">
        <f aca="false">IF($A147="","",IF(N($R147)&gt;0,MAX($P147,0),0))</f>
        <v/>
      </c>
      <c r="T147" s="53" t="str">
        <f aca="false">IF($A147="","",IF(ROUND($P147,2)&lt;0,"Supplier Credit",IF(ROUND($P147,2)=0,"Closed",IF($M147="","No Due Date",IF(N($R147)&lt;=0,"Not Due Yet",IF(N($R147)&lt;=Settings!$C$8,"1-30 Days Overdue",IF(N($R147)&lt;=Settings!$C$9,"31-60 Days Overdue",IF(N($R147)&lt;=Settings!$C$10,"61-90 Days Overdue","90+ Days Overdue"))))))))</f>
        <v/>
      </c>
      <c r="U147" s="61" t="str">
        <f aca="false">IF($A147="","",IF(COUNTIFS('Payments Log'!$B$8:$B$207,$A147)=0,"",SUMPRODUCT(MAX(('Payments Log'!$B$8:$B$207=$A147)*'Payments Log'!$E$8:$E$207))))</f>
        <v/>
      </c>
      <c r="V147" s="53" t="str">
        <f aca="false">IF($A147="","",IF($J147="","Not Delivered",IF($I147="","No Target Date",IF($J147&lt;=$I147,"On Time","Late"))))</f>
        <v/>
      </c>
      <c r="W147" s="53" t="str">
        <f aca="false">IF($A147="","",IF($X147="","OK","REVIEW"))</f>
        <v/>
      </c>
      <c r="X147" s="62" t="str">
        <f aca="false">IF($A147="","",TRIM(IF($B147="","Missing vendor ID. ","")&amp;IF($C147="NOT FOUND","Vendor ID not in Vendor Master. ","")&amp;IF(COUNTIFS('Invoice &amp; Delivery Log'!$A$8:$A$157,$A147)&gt;1,"Duplicate invoice ID. ","")&amp;IF(AND($D147&lt;&gt;"",COUNTIFS('Invoice &amp; Delivery Log'!$D$8:$D$157,$D147,'Invoice &amp; Delivery Log'!$B$8:$B$157,$B147)&gt;1),"Duplicate supplier invoice number. ","")&amp;IF($E147="","Missing PO number. ","")&amp;IF($H147="","Missing invoice date. ","")&amp;IF(N($N147)&lt;=0,"Invoice amount must be greater than zero. ","")&amp;IF(AND($H147&lt;&gt;"",$H147&gt;Settings!$C$5),"Invoice date is in the future. ","")&amp;IF(AND($K147="Received in Full",$J147=""),"Missing actual delivery date. ","")&amp;IF(ROUND(N($O147)-N($N147),2)&gt;0,"Payments exceed the invoice amount. ","")&amp;IF(AND($K147="Rejected",N($O147)&gt;0),"Payment made on a rejected delivery. ","")&amp;IF(AND($B147&lt;&gt;"",IFERROR(INDEX('Vendor Master'!$H$8:$H$47,MATCH($B147,'Vendor Master'!$A$8:$A$47,0)),"")="Inactive",ROUND(N($P147),2)&gt;0),"Open balance with an inactive vendor. ","")))</f>
        <v/>
      </c>
      <c r="Y147" s="53" t="str">
        <f aca="false">IF($A147="","",IF(ROUND($P147,2)&gt;0.004,"Yes","No"))</f>
        <v/>
      </c>
      <c r="Z147" s="49" t="str">
        <f aca="false">IF(OR($Y147&lt;&gt;"Yes",$M147=""),"",COUNTIFS('Invoice &amp; Delivery Log'!$Y$8:$Y$157,"Yes",'Invoice &amp; Delivery Log'!$M$8:$M$157,"&lt;"&amp;$M147)+COUNTIFS('Invoice &amp; Delivery Log'!$Y$8:$Y$157,"Yes",'Invoice &amp; Delivery Log'!$M$8:$M$157,$M147,'Invoice &amp; Delivery Log'!$A$8:$A$157,"&lt;"&amp;$A147)+1)</f>
        <v/>
      </c>
    </row>
    <row r="148" customFormat="false" ht="15" hidden="false" customHeight="true" outlineLevel="0" collapsed="false">
      <c r="A148" s="44"/>
      <c r="B148" s="44"/>
      <c r="C148" s="55" t="str">
        <f aca="false">IF($B148="","",IFERROR(INDEX('Vendor Master'!$B$8:$B$47,MATCH($B148,'Vendor Master'!$A$8:$A$47,0)),"NOT FOUND"))</f>
        <v/>
      </c>
      <c r="D148" s="44"/>
      <c r="E148" s="45"/>
      <c r="F148" s="55" t="str">
        <f aca="false">IF($B148="","",IFERROR(INDEX('Vendor Master'!$C$8:$C$47,MATCH($B148,'Vendor Master'!$A$8:$A$47,0)),""))</f>
        <v/>
      </c>
      <c r="G148" s="45"/>
      <c r="H148" s="56"/>
      <c r="I148" s="56"/>
      <c r="J148" s="56"/>
      <c r="K148" s="44"/>
      <c r="L148" s="57" t="str">
        <f aca="false">IF($B148="","",IFERROR(INDEX('Vendor Master'!$G$8:$G$47,MATCH($B148,'Vendor Master'!$A$8:$A$47,0)),""))</f>
        <v/>
      </c>
      <c r="M148" s="37" t="str">
        <f aca="false">IF(OR($H148="",$L148=""),"",$H148+$L148)</f>
        <v/>
      </c>
      <c r="N148" s="58"/>
      <c r="O148" s="30" t="str">
        <f aca="false">IF($A148="","",SUMIFS('Payments Log'!$F$8:$F$207,'Payments Log'!$B$8:$B$207,$A148))</f>
        <v/>
      </c>
      <c r="P148" s="30" t="str">
        <f aca="false">IF($A148="","",ROUND($N148-$O148,2))</f>
        <v/>
      </c>
      <c r="Q148" s="36" t="str">
        <f aca="false">IF($A148="","",IF(N($N148)&lt;=0,"Check Amount",IF(ROUND($O148,2)&lt;=0,"Unpaid",IF(ROUND($O148-$N148,2)&gt;0,"Overpaid",IF(ROUND($P148,2)&lt;=0,"Paid","Partially Paid")))))</f>
        <v/>
      </c>
      <c r="R148" s="47" t="str">
        <f aca="false">IF(OR($A148="",$M148=""),"",IF(ROUND($P148,2)&lt;=0,0,MAX(0,Settings!$C$5-$M148-Settings!$C$7)))</f>
        <v/>
      </c>
      <c r="S148" s="30" t="str">
        <f aca="false">IF($A148="","",IF(N($R148)&gt;0,MAX($P148,0),0))</f>
        <v/>
      </c>
      <c r="T148" s="36" t="str">
        <f aca="false">IF($A148="","",IF(ROUND($P148,2)&lt;0,"Supplier Credit",IF(ROUND($P148,2)=0,"Closed",IF($M148="","No Due Date",IF(N($R148)&lt;=0,"Not Due Yet",IF(N($R148)&lt;=Settings!$C$8,"1-30 Days Overdue",IF(N($R148)&lt;=Settings!$C$9,"31-60 Days Overdue",IF(N($R148)&lt;=Settings!$C$10,"61-90 Days Overdue","90+ Days Overdue"))))))))</f>
        <v/>
      </c>
      <c r="U148" s="37" t="str">
        <f aca="false">IF($A148="","",IF(COUNTIFS('Payments Log'!$B$8:$B$207,$A148)=0,"",SUMPRODUCT(MAX(('Payments Log'!$B$8:$B$207=$A148)*'Payments Log'!$E$8:$E$207))))</f>
        <v/>
      </c>
      <c r="V148" s="36" t="str">
        <f aca="false">IF($A148="","",IF($J148="","Not Delivered",IF($I148="","No Target Date",IF($J148&lt;=$I148,"On Time","Late"))))</f>
        <v/>
      </c>
      <c r="W148" s="36" t="str">
        <f aca="false">IF($A148="","",IF($X148="","OK","REVIEW"))</f>
        <v/>
      </c>
      <c r="X148" s="28" t="str">
        <f aca="false">IF($A148="","",TRIM(IF($B148="","Missing vendor ID. ","")&amp;IF($C148="NOT FOUND","Vendor ID not in Vendor Master. ","")&amp;IF(COUNTIFS('Invoice &amp; Delivery Log'!$A$8:$A$157,$A148)&gt;1,"Duplicate invoice ID. ","")&amp;IF(AND($D148&lt;&gt;"",COUNTIFS('Invoice &amp; Delivery Log'!$D$8:$D$157,$D148,'Invoice &amp; Delivery Log'!$B$8:$B$157,$B148)&gt;1),"Duplicate supplier invoice number. ","")&amp;IF($E148="","Missing PO number. ","")&amp;IF($H148="","Missing invoice date. ","")&amp;IF(N($N148)&lt;=0,"Invoice amount must be greater than zero. ","")&amp;IF(AND($H148&lt;&gt;"",$H148&gt;Settings!$C$5),"Invoice date is in the future. ","")&amp;IF(AND($K148="Received in Full",$J148=""),"Missing actual delivery date. ","")&amp;IF(ROUND(N($O148)-N($N148),2)&gt;0,"Payments exceed the invoice amount. ","")&amp;IF(AND($K148="Rejected",N($O148)&gt;0),"Payment made on a rejected delivery. ","")&amp;IF(AND($B148&lt;&gt;"",IFERROR(INDEX('Vendor Master'!$H$8:$H$47,MATCH($B148,'Vendor Master'!$A$8:$A$47,0)),"")="Inactive",ROUND(N($P148),2)&gt;0),"Open balance with an inactive vendor. ","")))</f>
        <v/>
      </c>
      <c r="Y148" s="36" t="str">
        <f aca="false">IF($A148="","",IF(ROUND($P148,2)&gt;0.004,"Yes","No"))</f>
        <v/>
      </c>
      <c r="Z148" s="29" t="str">
        <f aca="false">IF(OR($Y148&lt;&gt;"Yes",$M148=""),"",COUNTIFS('Invoice &amp; Delivery Log'!$Y$8:$Y$157,"Yes",'Invoice &amp; Delivery Log'!$M$8:$M$157,"&lt;"&amp;$M148)+COUNTIFS('Invoice &amp; Delivery Log'!$Y$8:$Y$157,"Yes",'Invoice &amp; Delivery Log'!$M$8:$M$157,$M148,'Invoice &amp; Delivery Log'!$A$8:$A$157,"&lt;"&amp;$A148)+1)</f>
        <v/>
      </c>
    </row>
    <row r="149" customFormat="false" ht="15" hidden="false" customHeight="true" outlineLevel="0" collapsed="false">
      <c r="A149" s="44"/>
      <c r="B149" s="44"/>
      <c r="C149" s="59" t="str">
        <f aca="false">IF($B149="","",IFERROR(INDEX('Vendor Master'!$B$8:$B$47,MATCH($B149,'Vendor Master'!$A$8:$A$47,0)),"NOT FOUND"))</f>
        <v/>
      </c>
      <c r="D149" s="44"/>
      <c r="E149" s="45"/>
      <c r="F149" s="59" t="str">
        <f aca="false">IF($B149="","",IFERROR(INDEX('Vendor Master'!$C$8:$C$47,MATCH($B149,'Vendor Master'!$A$8:$A$47,0)),""))</f>
        <v/>
      </c>
      <c r="G149" s="45"/>
      <c r="H149" s="56"/>
      <c r="I149" s="56"/>
      <c r="J149" s="56"/>
      <c r="K149" s="44"/>
      <c r="L149" s="60" t="str">
        <f aca="false">IF($B149="","",IFERROR(INDEX('Vendor Master'!$G$8:$G$47,MATCH($B149,'Vendor Master'!$A$8:$A$47,0)),""))</f>
        <v/>
      </c>
      <c r="M149" s="61" t="str">
        <f aca="false">IF(OR($H149="",$L149=""),"",$H149+$L149)</f>
        <v/>
      </c>
      <c r="N149" s="58"/>
      <c r="O149" s="50" t="str">
        <f aca="false">IF($A149="","",SUMIFS('Payments Log'!$F$8:$F$207,'Payments Log'!$B$8:$B$207,$A149))</f>
        <v/>
      </c>
      <c r="P149" s="50" t="str">
        <f aca="false">IF($A149="","",ROUND($N149-$O149,2))</f>
        <v/>
      </c>
      <c r="Q149" s="53" t="str">
        <f aca="false">IF($A149="","",IF(N($N149)&lt;=0,"Check Amount",IF(ROUND($O149,2)&lt;=0,"Unpaid",IF(ROUND($O149-$N149,2)&gt;0,"Overpaid",IF(ROUND($P149,2)&lt;=0,"Paid","Partially Paid")))))</f>
        <v/>
      </c>
      <c r="R149" s="52" t="str">
        <f aca="false">IF(OR($A149="",$M149=""),"",IF(ROUND($P149,2)&lt;=0,0,MAX(0,Settings!$C$5-$M149-Settings!$C$7)))</f>
        <v/>
      </c>
      <c r="S149" s="50" t="str">
        <f aca="false">IF($A149="","",IF(N($R149)&gt;0,MAX($P149,0),0))</f>
        <v/>
      </c>
      <c r="T149" s="53" t="str">
        <f aca="false">IF($A149="","",IF(ROUND($P149,2)&lt;0,"Supplier Credit",IF(ROUND($P149,2)=0,"Closed",IF($M149="","No Due Date",IF(N($R149)&lt;=0,"Not Due Yet",IF(N($R149)&lt;=Settings!$C$8,"1-30 Days Overdue",IF(N($R149)&lt;=Settings!$C$9,"31-60 Days Overdue",IF(N($R149)&lt;=Settings!$C$10,"61-90 Days Overdue","90+ Days Overdue"))))))))</f>
        <v/>
      </c>
      <c r="U149" s="61" t="str">
        <f aca="false">IF($A149="","",IF(COUNTIFS('Payments Log'!$B$8:$B$207,$A149)=0,"",SUMPRODUCT(MAX(('Payments Log'!$B$8:$B$207=$A149)*'Payments Log'!$E$8:$E$207))))</f>
        <v/>
      </c>
      <c r="V149" s="53" t="str">
        <f aca="false">IF($A149="","",IF($J149="","Not Delivered",IF($I149="","No Target Date",IF($J149&lt;=$I149,"On Time","Late"))))</f>
        <v/>
      </c>
      <c r="W149" s="53" t="str">
        <f aca="false">IF($A149="","",IF($X149="","OK","REVIEW"))</f>
        <v/>
      </c>
      <c r="X149" s="62" t="str">
        <f aca="false">IF($A149="","",TRIM(IF($B149="","Missing vendor ID. ","")&amp;IF($C149="NOT FOUND","Vendor ID not in Vendor Master. ","")&amp;IF(COUNTIFS('Invoice &amp; Delivery Log'!$A$8:$A$157,$A149)&gt;1,"Duplicate invoice ID. ","")&amp;IF(AND($D149&lt;&gt;"",COUNTIFS('Invoice &amp; Delivery Log'!$D$8:$D$157,$D149,'Invoice &amp; Delivery Log'!$B$8:$B$157,$B149)&gt;1),"Duplicate supplier invoice number. ","")&amp;IF($E149="","Missing PO number. ","")&amp;IF($H149="","Missing invoice date. ","")&amp;IF(N($N149)&lt;=0,"Invoice amount must be greater than zero. ","")&amp;IF(AND($H149&lt;&gt;"",$H149&gt;Settings!$C$5),"Invoice date is in the future. ","")&amp;IF(AND($K149="Received in Full",$J149=""),"Missing actual delivery date. ","")&amp;IF(ROUND(N($O149)-N($N149),2)&gt;0,"Payments exceed the invoice amount. ","")&amp;IF(AND($K149="Rejected",N($O149)&gt;0),"Payment made on a rejected delivery. ","")&amp;IF(AND($B149&lt;&gt;"",IFERROR(INDEX('Vendor Master'!$H$8:$H$47,MATCH($B149,'Vendor Master'!$A$8:$A$47,0)),"")="Inactive",ROUND(N($P149),2)&gt;0),"Open balance with an inactive vendor. ","")))</f>
        <v/>
      </c>
      <c r="Y149" s="53" t="str">
        <f aca="false">IF($A149="","",IF(ROUND($P149,2)&gt;0.004,"Yes","No"))</f>
        <v/>
      </c>
      <c r="Z149" s="49" t="str">
        <f aca="false">IF(OR($Y149&lt;&gt;"Yes",$M149=""),"",COUNTIFS('Invoice &amp; Delivery Log'!$Y$8:$Y$157,"Yes",'Invoice &amp; Delivery Log'!$M$8:$M$157,"&lt;"&amp;$M149)+COUNTIFS('Invoice &amp; Delivery Log'!$Y$8:$Y$157,"Yes",'Invoice &amp; Delivery Log'!$M$8:$M$157,$M149,'Invoice &amp; Delivery Log'!$A$8:$A$157,"&lt;"&amp;$A149)+1)</f>
        <v/>
      </c>
    </row>
    <row r="150" customFormat="false" ht="15" hidden="false" customHeight="true" outlineLevel="0" collapsed="false">
      <c r="A150" s="44"/>
      <c r="B150" s="44"/>
      <c r="C150" s="55" t="str">
        <f aca="false">IF($B150="","",IFERROR(INDEX('Vendor Master'!$B$8:$B$47,MATCH($B150,'Vendor Master'!$A$8:$A$47,0)),"NOT FOUND"))</f>
        <v/>
      </c>
      <c r="D150" s="44"/>
      <c r="E150" s="45"/>
      <c r="F150" s="55" t="str">
        <f aca="false">IF($B150="","",IFERROR(INDEX('Vendor Master'!$C$8:$C$47,MATCH($B150,'Vendor Master'!$A$8:$A$47,0)),""))</f>
        <v/>
      </c>
      <c r="G150" s="45"/>
      <c r="H150" s="56"/>
      <c r="I150" s="56"/>
      <c r="J150" s="56"/>
      <c r="K150" s="44"/>
      <c r="L150" s="57" t="str">
        <f aca="false">IF($B150="","",IFERROR(INDEX('Vendor Master'!$G$8:$G$47,MATCH($B150,'Vendor Master'!$A$8:$A$47,0)),""))</f>
        <v/>
      </c>
      <c r="M150" s="37" t="str">
        <f aca="false">IF(OR($H150="",$L150=""),"",$H150+$L150)</f>
        <v/>
      </c>
      <c r="N150" s="58"/>
      <c r="O150" s="30" t="str">
        <f aca="false">IF($A150="","",SUMIFS('Payments Log'!$F$8:$F$207,'Payments Log'!$B$8:$B$207,$A150))</f>
        <v/>
      </c>
      <c r="P150" s="30" t="str">
        <f aca="false">IF($A150="","",ROUND($N150-$O150,2))</f>
        <v/>
      </c>
      <c r="Q150" s="36" t="str">
        <f aca="false">IF($A150="","",IF(N($N150)&lt;=0,"Check Amount",IF(ROUND($O150,2)&lt;=0,"Unpaid",IF(ROUND($O150-$N150,2)&gt;0,"Overpaid",IF(ROUND($P150,2)&lt;=0,"Paid","Partially Paid")))))</f>
        <v/>
      </c>
      <c r="R150" s="47" t="str">
        <f aca="false">IF(OR($A150="",$M150=""),"",IF(ROUND($P150,2)&lt;=0,0,MAX(0,Settings!$C$5-$M150-Settings!$C$7)))</f>
        <v/>
      </c>
      <c r="S150" s="30" t="str">
        <f aca="false">IF($A150="","",IF(N($R150)&gt;0,MAX($P150,0),0))</f>
        <v/>
      </c>
      <c r="T150" s="36" t="str">
        <f aca="false">IF($A150="","",IF(ROUND($P150,2)&lt;0,"Supplier Credit",IF(ROUND($P150,2)=0,"Closed",IF($M150="","No Due Date",IF(N($R150)&lt;=0,"Not Due Yet",IF(N($R150)&lt;=Settings!$C$8,"1-30 Days Overdue",IF(N($R150)&lt;=Settings!$C$9,"31-60 Days Overdue",IF(N($R150)&lt;=Settings!$C$10,"61-90 Days Overdue","90+ Days Overdue"))))))))</f>
        <v/>
      </c>
      <c r="U150" s="37" t="str">
        <f aca="false">IF($A150="","",IF(COUNTIFS('Payments Log'!$B$8:$B$207,$A150)=0,"",SUMPRODUCT(MAX(('Payments Log'!$B$8:$B$207=$A150)*'Payments Log'!$E$8:$E$207))))</f>
        <v/>
      </c>
      <c r="V150" s="36" t="str">
        <f aca="false">IF($A150="","",IF($J150="","Not Delivered",IF($I150="","No Target Date",IF($J150&lt;=$I150,"On Time","Late"))))</f>
        <v/>
      </c>
      <c r="W150" s="36" t="str">
        <f aca="false">IF($A150="","",IF($X150="","OK","REVIEW"))</f>
        <v/>
      </c>
      <c r="X150" s="28" t="str">
        <f aca="false">IF($A150="","",TRIM(IF($B150="","Missing vendor ID. ","")&amp;IF($C150="NOT FOUND","Vendor ID not in Vendor Master. ","")&amp;IF(COUNTIFS('Invoice &amp; Delivery Log'!$A$8:$A$157,$A150)&gt;1,"Duplicate invoice ID. ","")&amp;IF(AND($D150&lt;&gt;"",COUNTIFS('Invoice &amp; Delivery Log'!$D$8:$D$157,$D150,'Invoice &amp; Delivery Log'!$B$8:$B$157,$B150)&gt;1),"Duplicate supplier invoice number. ","")&amp;IF($E150="","Missing PO number. ","")&amp;IF($H150="","Missing invoice date. ","")&amp;IF(N($N150)&lt;=0,"Invoice amount must be greater than zero. ","")&amp;IF(AND($H150&lt;&gt;"",$H150&gt;Settings!$C$5),"Invoice date is in the future. ","")&amp;IF(AND($K150="Received in Full",$J150=""),"Missing actual delivery date. ","")&amp;IF(ROUND(N($O150)-N($N150),2)&gt;0,"Payments exceed the invoice amount. ","")&amp;IF(AND($K150="Rejected",N($O150)&gt;0),"Payment made on a rejected delivery. ","")&amp;IF(AND($B150&lt;&gt;"",IFERROR(INDEX('Vendor Master'!$H$8:$H$47,MATCH($B150,'Vendor Master'!$A$8:$A$47,0)),"")="Inactive",ROUND(N($P150),2)&gt;0),"Open balance with an inactive vendor. ","")))</f>
        <v/>
      </c>
      <c r="Y150" s="36" t="str">
        <f aca="false">IF($A150="","",IF(ROUND($P150,2)&gt;0.004,"Yes","No"))</f>
        <v/>
      </c>
      <c r="Z150" s="29" t="str">
        <f aca="false">IF(OR($Y150&lt;&gt;"Yes",$M150=""),"",COUNTIFS('Invoice &amp; Delivery Log'!$Y$8:$Y$157,"Yes",'Invoice &amp; Delivery Log'!$M$8:$M$157,"&lt;"&amp;$M150)+COUNTIFS('Invoice &amp; Delivery Log'!$Y$8:$Y$157,"Yes",'Invoice &amp; Delivery Log'!$M$8:$M$157,$M150,'Invoice &amp; Delivery Log'!$A$8:$A$157,"&lt;"&amp;$A150)+1)</f>
        <v/>
      </c>
    </row>
    <row r="151" customFormat="false" ht="15" hidden="false" customHeight="true" outlineLevel="0" collapsed="false">
      <c r="A151" s="44"/>
      <c r="B151" s="44"/>
      <c r="C151" s="59" t="str">
        <f aca="false">IF($B151="","",IFERROR(INDEX('Vendor Master'!$B$8:$B$47,MATCH($B151,'Vendor Master'!$A$8:$A$47,0)),"NOT FOUND"))</f>
        <v/>
      </c>
      <c r="D151" s="44"/>
      <c r="E151" s="45"/>
      <c r="F151" s="59" t="str">
        <f aca="false">IF($B151="","",IFERROR(INDEX('Vendor Master'!$C$8:$C$47,MATCH($B151,'Vendor Master'!$A$8:$A$47,0)),""))</f>
        <v/>
      </c>
      <c r="G151" s="45"/>
      <c r="H151" s="56"/>
      <c r="I151" s="56"/>
      <c r="J151" s="56"/>
      <c r="K151" s="44"/>
      <c r="L151" s="60" t="str">
        <f aca="false">IF($B151="","",IFERROR(INDEX('Vendor Master'!$G$8:$G$47,MATCH($B151,'Vendor Master'!$A$8:$A$47,0)),""))</f>
        <v/>
      </c>
      <c r="M151" s="61" t="str">
        <f aca="false">IF(OR($H151="",$L151=""),"",$H151+$L151)</f>
        <v/>
      </c>
      <c r="N151" s="58"/>
      <c r="O151" s="50" t="str">
        <f aca="false">IF($A151="","",SUMIFS('Payments Log'!$F$8:$F$207,'Payments Log'!$B$8:$B$207,$A151))</f>
        <v/>
      </c>
      <c r="P151" s="50" t="str">
        <f aca="false">IF($A151="","",ROUND($N151-$O151,2))</f>
        <v/>
      </c>
      <c r="Q151" s="53" t="str">
        <f aca="false">IF($A151="","",IF(N($N151)&lt;=0,"Check Amount",IF(ROUND($O151,2)&lt;=0,"Unpaid",IF(ROUND($O151-$N151,2)&gt;0,"Overpaid",IF(ROUND($P151,2)&lt;=0,"Paid","Partially Paid")))))</f>
        <v/>
      </c>
      <c r="R151" s="52" t="str">
        <f aca="false">IF(OR($A151="",$M151=""),"",IF(ROUND($P151,2)&lt;=0,0,MAX(0,Settings!$C$5-$M151-Settings!$C$7)))</f>
        <v/>
      </c>
      <c r="S151" s="50" t="str">
        <f aca="false">IF($A151="","",IF(N($R151)&gt;0,MAX($P151,0),0))</f>
        <v/>
      </c>
      <c r="T151" s="53" t="str">
        <f aca="false">IF($A151="","",IF(ROUND($P151,2)&lt;0,"Supplier Credit",IF(ROUND($P151,2)=0,"Closed",IF($M151="","No Due Date",IF(N($R151)&lt;=0,"Not Due Yet",IF(N($R151)&lt;=Settings!$C$8,"1-30 Days Overdue",IF(N($R151)&lt;=Settings!$C$9,"31-60 Days Overdue",IF(N($R151)&lt;=Settings!$C$10,"61-90 Days Overdue","90+ Days Overdue"))))))))</f>
        <v/>
      </c>
      <c r="U151" s="61" t="str">
        <f aca="false">IF($A151="","",IF(COUNTIFS('Payments Log'!$B$8:$B$207,$A151)=0,"",SUMPRODUCT(MAX(('Payments Log'!$B$8:$B$207=$A151)*'Payments Log'!$E$8:$E$207))))</f>
        <v/>
      </c>
      <c r="V151" s="53" t="str">
        <f aca="false">IF($A151="","",IF($J151="","Not Delivered",IF($I151="","No Target Date",IF($J151&lt;=$I151,"On Time","Late"))))</f>
        <v/>
      </c>
      <c r="W151" s="53" t="str">
        <f aca="false">IF($A151="","",IF($X151="","OK","REVIEW"))</f>
        <v/>
      </c>
      <c r="X151" s="62" t="str">
        <f aca="false">IF($A151="","",TRIM(IF($B151="","Missing vendor ID. ","")&amp;IF($C151="NOT FOUND","Vendor ID not in Vendor Master. ","")&amp;IF(COUNTIFS('Invoice &amp; Delivery Log'!$A$8:$A$157,$A151)&gt;1,"Duplicate invoice ID. ","")&amp;IF(AND($D151&lt;&gt;"",COUNTIFS('Invoice &amp; Delivery Log'!$D$8:$D$157,$D151,'Invoice &amp; Delivery Log'!$B$8:$B$157,$B151)&gt;1),"Duplicate supplier invoice number. ","")&amp;IF($E151="","Missing PO number. ","")&amp;IF($H151="","Missing invoice date. ","")&amp;IF(N($N151)&lt;=0,"Invoice amount must be greater than zero. ","")&amp;IF(AND($H151&lt;&gt;"",$H151&gt;Settings!$C$5),"Invoice date is in the future. ","")&amp;IF(AND($K151="Received in Full",$J151=""),"Missing actual delivery date. ","")&amp;IF(ROUND(N($O151)-N($N151),2)&gt;0,"Payments exceed the invoice amount. ","")&amp;IF(AND($K151="Rejected",N($O151)&gt;0),"Payment made on a rejected delivery. ","")&amp;IF(AND($B151&lt;&gt;"",IFERROR(INDEX('Vendor Master'!$H$8:$H$47,MATCH($B151,'Vendor Master'!$A$8:$A$47,0)),"")="Inactive",ROUND(N($P151),2)&gt;0),"Open balance with an inactive vendor. ","")))</f>
        <v/>
      </c>
      <c r="Y151" s="53" t="str">
        <f aca="false">IF($A151="","",IF(ROUND($P151,2)&gt;0.004,"Yes","No"))</f>
        <v/>
      </c>
      <c r="Z151" s="49" t="str">
        <f aca="false">IF(OR($Y151&lt;&gt;"Yes",$M151=""),"",COUNTIFS('Invoice &amp; Delivery Log'!$Y$8:$Y$157,"Yes",'Invoice &amp; Delivery Log'!$M$8:$M$157,"&lt;"&amp;$M151)+COUNTIFS('Invoice &amp; Delivery Log'!$Y$8:$Y$157,"Yes",'Invoice &amp; Delivery Log'!$M$8:$M$157,$M151,'Invoice &amp; Delivery Log'!$A$8:$A$157,"&lt;"&amp;$A151)+1)</f>
        <v/>
      </c>
    </row>
    <row r="152" customFormat="false" ht="15" hidden="false" customHeight="true" outlineLevel="0" collapsed="false">
      <c r="A152" s="44"/>
      <c r="B152" s="44"/>
      <c r="C152" s="55" t="str">
        <f aca="false">IF($B152="","",IFERROR(INDEX('Vendor Master'!$B$8:$B$47,MATCH($B152,'Vendor Master'!$A$8:$A$47,0)),"NOT FOUND"))</f>
        <v/>
      </c>
      <c r="D152" s="44"/>
      <c r="E152" s="45"/>
      <c r="F152" s="55" t="str">
        <f aca="false">IF($B152="","",IFERROR(INDEX('Vendor Master'!$C$8:$C$47,MATCH($B152,'Vendor Master'!$A$8:$A$47,0)),""))</f>
        <v/>
      </c>
      <c r="G152" s="45"/>
      <c r="H152" s="56"/>
      <c r="I152" s="56"/>
      <c r="J152" s="56"/>
      <c r="K152" s="44"/>
      <c r="L152" s="57" t="str">
        <f aca="false">IF($B152="","",IFERROR(INDEX('Vendor Master'!$G$8:$G$47,MATCH($B152,'Vendor Master'!$A$8:$A$47,0)),""))</f>
        <v/>
      </c>
      <c r="M152" s="37" t="str">
        <f aca="false">IF(OR($H152="",$L152=""),"",$H152+$L152)</f>
        <v/>
      </c>
      <c r="N152" s="58"/>
      <c r="O152" s="30" t="str">
        <f aca="false">IF($A152="","",SUMIFS('Payments Log'!$F$8:$F$207,'Payments Log'!$B$8:$B$207,$A152))</f>
        <v/>
      </c>
      <c r="P152" s="30" t="str">
        <f aca="false">IF($A152="","",ROUND($N152-$O152,2))</f>
        <v/>
      </c>
      <c r="Q152" s="36" t="str">
        <f aca="false">IF($A152="","",IF(N($N152)&lt;=0,"Check Amount",IF(ROUND($O152,2)&lt;=0,"Unpaid",IF(ROUND($O152-$N152,2)&gt;0,"Overpaid",IF(ROUND($P152,2)&lt;=0,"Paid","Partially Paid")))))</f>
        <v/>
      </c>
      <c r="R152" s="47" t="str">
        <f aca="false">IF(OR($A152="",$M152=""),"",IF(ROUND($P152,2)&lt;=0,0,MAX(0,Settings!$C$5-$M152-Settings!$C$7)))</f>
        <v/>
      </c>
      <c r="S152" s="30" t="str">
        <f aca="false">IF($A152="","",IF(N($R152)&gt;0,MAX($P152,0),0))</f>
        <v/>
      </c>
      <c r="T152" s="36" t="str">
        <f aca="false">IF($A152="","",IF(ROUND($P152,2)&lt;0,"Supplier Credit",IF(ROUND($P152,2)=0,"Closed",IF($M152="","No Due Date",IF(N($R152)&lt;=0,"Not Due Yet",IF(N($R152)&lt;=Settings!$C$8,"1-30 Days Overdue",IF(N($R152)&lt;=Settings!$C$9,"31-60 Days Overdue",IF(N($R152)&lt;=Settings!$C$10,"61-90 Days Overdue","90+ Days Overdue"))))))))</f>
        <v/>
      </c>
      <c r="U152" s="37" t="str">
        <f aca="false">IF($A152="","",IF(COUNTIFS('Payments Log'!$B$8:$B$207,$A152)=0,"",SUMPRODUCT(MAX(('Payments Log'!$B$8:$B$207=$A152)*'Payments Log'!$E$8:$E$207))))</f>
        <v/>
      </c>
      <c r="V152" s="36" t="str">
        <f aca="false">IF($A152="","",IF($J152="","Not Delivered",IF($I152="","No Target Date",IF($J152&lt;=$I152,"On Time","Late"))))</f>
        <v/>
      </c>
      <c r="W152" s="36" t="str">
        <f aca="false">IF($A152="","",IF($X152="","OK","REVIEW"))</f>
        <v/>
      </c>
      <c r="X152" s="28" t="str">
        <f aca="false">IF($A152="","",TRIM(IF($B152="","Missing vendor ID. ","")&amp;IF($C152="NOT FOUND","Vendor ID not in Vendor Master. ","")&amp;IF(COUNTIFS('Invoice &amp; Delivery Log'!$A$8:$A$157,$A152)&gt;1,"Duplicate invoice ID. ","")&amp;IF(AND($D152&lt;&gt;"",COUNTIFS('Invoice &amp; Delivery Log'!$D$8:$D$157,$D152,'Invoice &amp; Delivery Log'!$B$8:$B$157,$B152)&gt;1),"Duplicate supplier invoice number. ","")&amp;IF($E152="","Missing PO number. ","")&amp;IF($H152="","Missing invoice date. ","")&amp;IF(N($N152)&lt;=0,"Invoice amount must be greater than zero. ","")&amp;IF(AND($H152&lt;&gt;"",$H152&gt;Settings!$C$5),"Invoice date is in the future. ","")&amp;IF(AND($K152="Received in Full",$J152=""),"Missing actual delivery date. ","")&amp;IF(ROUND(N($O152)-N($N152),2)&gt;0,"Payments exceed the invoice amount. ","")&amp;IF(AND($K152="Rejected",N($O152)&gt;0),"Payment made on a rejected delivery. ","")&amp;IF(AND($B152&lt;&gt;"",IFERROR(INDEX('Vendor Master'!$H$8:$H$47,MATCH($B152,'Vendor Master'!$A$8:$A$47,0)),"")="Inactive",ROUND(N($P152),2)&gt;0),"Open balance with an inactive vendor. ","")))</f>
        <v/>
      </c>
      <c r="Y152" s="36" t="str">
        <f aca="false">IF($A152="","",IF(ROUND($P152,2)&gt;0.004,"Yes","No"))</f>
        <v/>
      </c>
      <c r="Z152" s="29" t="str">
        <f aca="false">IF(OR($Y152&lt;&gt;"Yes",$M152=""),"",COUNTIFS('Invoice &amp; Delivery Log'!$Y$8:$Y$157,"Yes",'Invoice &amp; Delivery Log'!$M$8:$M$157,"&lt;"&amp;$M152)+COUNTIFS('Invoice &amp; Delivery Log'!$Y$8:$Y$157,"Yes",'Invoice &amp; Delivery Log'!$M$8:$M$157,$M152,'Invoice &amp; Delivery Log'!$A$8:$A$157,"&lt;"&amp;$A152)+1)</f>
        <v/>
      </c>
    </row>
    <row r="153" customFormat="false" ht="15" hidden="false" customHeight="true" outlineLevel="0" collapsed="false">
      <c r="A153" s="44"/>
      <c r="B153" s="44"/>
      <c r="C153" s="59" t="str">
        <f aca="false">IF($B153="","",IFERROR(INDEX('Vendor Master'!$B$8:$B$47,MATCH($B153,'Vendor Master'!$A$8:$A$47,0)),"NOT FOUND"))</f>
        <v/>
      </c>
      <c r="D153" s="44"/>
      <c r="E153" s="45"/>
      <c r="F153" s="59" t="str">
        <f aca="false">IF($B153="","",IFERROR(INDEX('Vendor Master'!$C$8:$C$47,MATCH($B153,'Vendor Master'!$A$8:$A$47,0)),""))</f>
        <v/>
      </c>
      <c r="G153" s="45"/>
      <c r="H153" s="56"/>
      <c r="I153" s="56"/>
      <c r="J153" s="56"/>
      <c r="K153" s="44"/>
      <c r="L153" s="60" t="str">
        <f aca="false">IF($B153="","",IFERROR(INDEX('Vendor Master'!$G$8:$G$47,MATCH($B153,'Vendor Master'!$A$8:$A$47,0)),""))</f>
        <v/>
      </c>
      <c r="M153" s="61" t="str">
        <f aca="false">IF(OR($H153="",$L153=""),"",$H153+$L153)</f>
        <v/>
      </c>
      <c r="N153" s="58"/>
      <c r="O153" s="50" t="str">
        <f aca="false">IF($A153="","",SUMIFS('Payments Log'!$F$8:$F$207,'Payments Log'!$B$8:$B$207,$A153))</f>
        <v/>
      </c>
      <c r="P153" s="50" t="str">
        <f aca="false">IF($A153="","",ROUND($N153-$O153,2))</f>
        <v/>
      </c>
      <c r="Q153" s="53" t="str">
        <f aca="false">IF($A153="","",IF(N($N153)&lt;=0,"Check Amount",IF(ROUND($O153,2)&lt;=0,"Unpaid",IF(ROUND($O153-$N153,2)&gt;0,"Overpaid",IF(ROUND($P153,2)&lt;=0,"Paid","Partially Paid")))))</f>
        <v/>
      </c>
      <c r="R153" s="52" t="str">
        <f aca="false">IF(OR($A153="",$M153=""),"",IF(ROUND($P153,2)&lt;=0,0,MAX(0,Settings!$C$5-$M153-Settings!$C$7)))</f>
        <v/>
      </c>
      <c r="S153" s="50" t="str">
        <f aca="false">IF($A153="","",IF(N($R153)&gt;0,MAX($P153,0),0))</f>
        <v/>
      </c>
      <c r="T153" s="53" t="str">
        <f aca="false">IF($A153="","",IF(ROUND($P153,2)&lt;0,"Supplier Credit",IF(ROUND($P153,2)=0,"Closed",IF($M153="","No Due Date",IF(N($R153)&lt;=0,"Not Due Yet",IF(N($R153)&lt;=Settings!$C$8,"1-30 Days Overdue",IF(N($R153)&lt;=Settings!$C$9,"31-60 Days Overdue",IF(N($R153)&lt;=Settings!$C$10,"61-90 Days Overdue","90+ Days Overdue"))))))))</f>
        <v/>
      </c>
      <c r="U153" s="61" t="str">
        <f aca="false">IF($A153="","",IF(COUNTIFS('Payments Log'!$B$8:$B$207,$A153)=0,"",SUMPRODUCT(MAX(('Payments Log'!$B$8:$B$207=$A153)*'Payments Log'!$E$8:$E$207))))</f>
        <v/>
      </c>
      <c r="V153" s="53" t="str">
        <f aca="false">IF($A153="","",IF($J153="","Not Delivered",IF($I153="","No Target Date",IF($J153&lt;=$I153,"On Time","Late"))))</f>
        <v/>
      </c>
      <c r="W153" s="53" t="str">
        <f aca="false">IF($A153="","",IF($X153="","OK","REVIEW"))</f>
        <v/>
      </c>
      <c r="X153" s="62" t="str">
        <f aca="false">IF($A153="","",TRIM(IF($B153="","Missing vendor ID. ","")&amp;IF($C153="NOT FOUND","Vendor ID not in Vendor Master. ","")&amp;IF(COUNTIFS('Invoice &amp; Delivery Log'!$A$8:$A$157,$A153)&gt;1,"Duplicate invoice ID. ","")&amp;IF(AND($D153&lt;&gt;"",COUNTIFS('Invoice &amp; Delivery Log'!$D$8:$D$157,$D153,'Invoice &amp; Delivery Log'!$B$8:$B$157,$B153)&gt;1),"Duplicate supplier invoice number. ","")&amp;IF($E153="","Missing PO number. ","")&amp;IF($H153="","Missing invoice date. ","")&amp;IF(N($N153)&lt;=0,"Invoice amount must be greater than zero. ","")&amp;IF(AND($H153&lt;&gt;"",$H153&gt;Settings!$C$5),"Invoice date is in the future. ","")&amp;IF(AND($K153="Received in Full",$J153=""),"Missing actual delivery date. ","")&amp;IF(ROUND(N($O153)-N($N153),2)&gt;0,"Payments exceed the invoice amount. ","")&amp;IF(AND($K153="Rejected",N($O153)&gt;0),"Payment made on a rejected delivery. ","")&amp;IF(AND($B153&lt;&gt;"",IFERROR(INDEX('Vendor Master'!$H$8:$H$47,MATCH($B153,'Vendor Master'!$A$8:$A$47,0)),"")="Inactive",ROUND(N($P153),2)&gt;0),"Open balance with an inactive vendor. ","")))</f>
        <v/>
      </c>
      <c r="Y153" s="53" t="str">
        <f aca="false">IF($A153="","",IF(ROUND($P153,2)&gt;0.004,"Yes","No"))</f>
        <v/>
      </c>
      <c r="Z153" s="49" t="str">
        <f aca="false">IF(OR($Y153&lt;&gt;"Yes",$M153=""),"",COUNTIFS('Invoice &amp; Delivery Log'!$Y$8:$Y$157,"Yes",'Invoice &amp; Delivery Log'!$M$8:$M$157,"&lt;"&amp;$M153)+COUNTIFS('Invoice &amp; Delivery Log'!$Y$8:$Y$157,"Yes",'Invoice &amp; Delivery Log'!$M$8:$M$157,$M153,'Invoice &amp; Delivery Log'!$A$8:$A$157,"&lt;"&amp;$A153)+1)</f>
        <v/>
      </c>
    </row>
    <row r="154" customFormat="false" ht="15" hidden="false" customHeight="true" outlineLevel="0" collapsed="false">
      <c r="A154" s="44"/>
      <c r="B154" s="44"/>
      <c r="C154" s="55" t="str">
        <f aca="false">IF($B154="","",IFERROR(INDEX('Vendor Master'!$B$8:$B$47,MATCH($B154,'Vendor Master'!$A$8:$A$47,0)),"NOT FOUND"))</f>
        <v/>
      </c>
      <c r="D154" s="44"/>
      <c r="E154" s="45"/>
      <c r="F154" s="55" t="str">
        <f aca="false">IF($B154="","",IFERROR(INDEX('Vendor Master'!$C$8:$C$47,MATCH($B154,'Vendor Master'!$A$8:$A$47,0)),""))</f>
        <v/>
      </c>
      <c r="G154" s="45"/>
      <c r="H154" s="56"/>
      <c r="I154" s="56"/>
      <c r="J154" s="56"/>
      <c r="K154" s="44"/>
      <c r="L154" s="57" t="str">
        <f aca="false">IF($B154="","",IFERROR(INDEX('Vendor Master'!$G$8:$G$47,MATCH($B154,'Vendor Master'!$A$8:$A$47,0)),""))</f>
        <v/>
      </c>
      <c r="M154" s="37" t="str">
        <f aca="false">IF(OR($H154="",$L154=""),"",$H154+$L154)</f>
        <v/>
      </c>
      <c r="N154" s="58"/>
      <c r="O154" s="30" t="str">
        <f aca="false">IF($A154="","",SUMIFS('Payments Log'!$F$8:$F$207,'Payments Log'!$B$8:$B$207,$A154))</f>
        <v/>
      </c>
      <c r="P154" s="30" t="str">
        <f aca="false">IF($A154="","",ROUND($N154-$O154,2))</f>
        <v/>
      </c>
      <c r="Q154" s="36" t="str">
        <f aca="false">IF($A154="","",IF(N($N154)&lt;=0,"Check Amount",IF(ROUND($O154,2)&lt;=0,"Unpaid",IF(ROUND($O154-$N154,2)&gt;0,"Overpaid",IF(ROUND($P154,2)&lt;=0,"Paid","Partially Paid")))))</f>
        <v/>
      </c>
      <c r="R154" s="47" t="str">
        <f aca="false">IF(OR($A154="",$M154=""),"",IF(ROUND($P154,2)&lt;=0,0,MAX(0,Settings!$C$5-$M154-Settings!$C$7)))</f>
        <v/>
      </c>
      <c r="S154" s="30" t="str">
        <f aca="false">IF($A154="","",IF(N($R154)&gt;0,MAX($P154,0),0))</f>
        <v/>
      </c>
      <c r="T154" s="36" t="str">
        <f aca="false">IF($A154="","",IF(ROUND($P154,2)&lt;0,"Supplier Credit",IF(ROUND($P154,2)=0,"Closed",IF($M154="","No Due Date",IF(N($R154)&lt;=0,"Not Due Yet",IF(N($R154)&lt;=Settings!$C$8,"1-30 Days Overdue",IF(N($R154)&lt;=Settings!$C$9,"31-60 Days Overdue",IF(N($R154)&lt;=Settings!$C$10,"61-90 Days Overdue","90+ Days Overdue"))))))))</f>
        <v/>
      </c>
      <c r="U154" s="37" t="str">
        <f aca="false">IF($A154="","",IF(COUNTIFS('Payments Log'!$B$8:$B$207,$A154)=0,"",SUMPRODUCT(MAX(('Payments Log'!$B$8:$B$207=$A154)*'Payments Log'!$E$8:$E$207))))</f>
        <v/>
      </c>
      <c r="V154" s="36" t="str">
        <f aca="false">IF($A154="","",IF($J154="","Not Delivered",IF($I154="","No Target Date",IF($J154&lt;=$I154,"On Time","Late"))))</f>
        <v/>
      </c>
      <c r="W154" s="36" t="str">
        <f aca="false">IF($A154="","",IF($X154="","OK","REVIEW"))</f>
        <v/>
      </c>
      <c r="X154" s="28" t="str">
        <f aca="false">IF($A154="","",TRIM(IF($B154="","Missing vendor ID. ","")&amp;IF($C154="NOT FOUND","Vendor ID not in Vendor Master. ","")&amp;IF(COUNTIFS('Invoice &amp; Delivery Log'!$A$8:$A$157,$A154)&gt;1,"Duplicate invoice ID. ","")&amp;IF(AND($D154&lt;&gt;"",COUNTIFS('Invoice &amp; Delivery Log'!$D$8:$D$157,$D154,'Invoice &amp; Delivery Log'!$B$8:$B$157,$B154)&gt;1),"Duplicate supplier invoice number. ","")&amp;IF($E154="","Missing PO number. ","")&amp;IF($H154="","Missing invoice date. ","")&amp;IF(N($N154)&lt;=0,"Invoice amount must be greater than zero. ","")&amp;IF(AND($H154&lt;&gt;"",$H154&gt;Settings!$C$5),"Invoice date is in the future. ","")&amp;IF(AND($K154="Received in Full",$J154=""),"Missing actual delivery date. ","")&amp;IF(ROUND(N($O154)-N($N154),2)&gt;0,"Payments exceed the invoice amount. ","")&amp;IF(AND($K154="Rejected",N($O154)&gt;0),"Payment made on a rejected delivery. ","")&amp;IF(AND($B154&lt;&gt;"",IFERROR(INDEX('Vendor Master'!$H$8:$H$47,MATCH($B154,'Vendor Master'!$A$8:$A$47,0)),"")="Inactive",ROUND(N($P154),2)&gt;0),"Open balance with an inactive vendor. ","")))</f>
        <v/>
      </c>
      <c r="Y154" s="36" t="str">
        <f aca="false">IF($A154="","",IF(ROUND($P154,2)&gt;0.004,"Yes","No"))</f>
        <v/>
      </c>
      <c r="Z154" s="29" t="str">
        <f aca="false">IF(OR($Y154&lt;&gt;"Yes",$M154=""),"",COUNTIFS('Invoice &amp; Delivery Log'!$Y$8:$Y$157,"Yes",'Invoice &amp; Delivery Log'!$M$8:$M$157,"&lt;"&amp;$M154)+COUNTIFS('Invoice &amp; Delivery Log'!$Y$8:$Y$157,"Yes",'Invoice &amp; Delivery Log'!$M$8:$M$157,$M154,'Invoice &amp; Delivery Log'!$A$8:$A$157,"&lt;"&amp;$A154)+1)</f>
        <v/>
      </c>
    </row>
    <row r="155" customFormat="false" ht="15" hidden="false" customHeight="true" outlineLevel="0" collapsed="false">
      <c r="A155" s="44"/>
      <c r="B155" s="44"/>
      <c r="C155" s="59" t="str">
        <f aca="false">IF($B155="","",IFERROR(INDEX('Vendor Master'!$B$8:$B$47,MATCH($B155,'Vendor Master'!$A$8:$A$47,0)),"NOT FOUND"))</f>
        <v/>
      </c>
      <c r="D155" s="44"/>
      <c r="E155" s="45"/>
      <c r="F155" s="59" t="str">
        <f aca="false">IF($B155="","",IFERROR(INDEX('Vendor Master'!$C$8:$C$47,MATCH($B155,'Vendor Master'!$A$8:$A$47,0)),""))</f>
        <v/>
      </c>
      <c r="G155" s="45"/>
      <c r="H155" s="56"/>
      <c r="I155" s="56"/>
      <c r="J155" s="56"/>
      <c r="K155" s="44"/>
      <c r="L155" s="60" t="str">
        <f aca="false">IF($B155="","",IFERROR(INDEX('Vendor Master'!$G$8:$G$47,MATCH($B155,'Vendor Master'!$A$8:$A$47,0)),""))</f>
        <v/>
      </c>
      <c r="M155" s="61" t="str">
        <f aca="false">IF(OR($H155="",$L155=""),"",$H155+$L155)</f>
        <v/>
      </c>
      <c r="N155" s="58"/>
      <c r="O155" s="50" t="str">
        <f aca="false">IF($A155="","",SUMIFS('Payments Log'!$F$8:$F$207,'Payments Log'!$B$8:$B$207,$A155))</f>
        <v/>
      </c>
      <c r="P155" s="50" t="str">
        <f aca="false">IF($A155="","",ROUND($N155-$O155,2))</f>
        <v/>
      </c>
      <c r="Q155" s="53" t="str">
        <f aca="false">IF($A155="","",IF(N($N155)&lt;=0,"Check Amount",IF(ROUND($O155,2)&lt;=0,"Unpaid",IF(ROUND($O155-$N155,2)&gt;0,"Overpaid",IF(ROUND($P155,2)&lt;=0,"Paid","Partially Paid")))))</f>
        <v/>
      </c>
      <c r="R155" s="52" t="str">
        <f aca="false">IF(OR($A155="",$M155=""),"",IF(ROUND($P155,2)&lt;=0,0,MAX(0,Settings!$C$5-$M155-Settings!$C$7)))</f>
        <v/>
      </c>
      <c r="S155" s="50" t="str">
        <f aca="false">IF($A155="","",IF(N($R155)&gt;0,MAX($P155,0),0))</f>
        <v/>
      </c>
      <c r="T155" s="53" t="str">
        <f aca="false">IF($A155="","",IF(ROUND($P155,2)&lt;0,"Supplier Credit",IF(ROUND($P155,2)=0,"Closed",IF($M155="","No Due Date",IF(N($R155)&lt;=0,"Not Due Yet",IF(N($R155)&lt;=Settings!$C$8,"1-30 Days Overdue",IF(N($R155)&lt;=Settings!$C$9,"31-60 Days Overdue",IF(N($R155)&lt;=Settings!$C$10,"61-90 Days Overdue","90+ Days Overdue"))))))))</f>
        <v/>
      </c>
      <c r="U155" s="61" t="str">
        <f aca="false">IF($A155="","",IF(COUNTIFS('Payments Log'!$B$8:$B$207,$A155)=0,"",SUMPRODUCT(MAX(('Payments Log'!$B$8:$B$207=$A155)*'Payments Log'!$E$8:$E$207))))</f>
        <v/>
      </c>
      <c r="V155" s="53" t="str">
        <f aca="false">IF($A155="","",IF($J155="","Not Delivered",IF($I155="","No Target Date",IF($J155&lt;=$I155,"On Time","Late"))))</f>
        <v/>
      </c>
      <c r="W155" s="53" t="str">
        <f aca="false">IF($A155="","",IF($X155="","OK","REVIEW"))</f>
        <v/>
      </c>
      <c r="X155" s="62" t="str">
        <f aca="false">IF($A155="","",TRIM(IF($B155="","Missing vendor ID. ","")&amp;IF($C155="NOT FOUND","Vendor ID not in Vendor Master. ","")&amp;IF(COUNTIFS('Invoice &amp; Delivery Log'!$A$8:$A$157,$A155)&gt;1,"Duplicate invoice ID. ","")&amp;IF(AND($D155&lt;&gt;"",COUNTIFS('Invoice &amp; Delivery Log'!$D$8:$D$157,$D155,'Invoice &amp; Delivery Log'!$B$8:$B$157,$B155)&gt;1),"Duplicate supplier invoice number. ","")&amp;IF($E155="","Missing PO number. ","")&amp;IF($H155="","Missing invoice date. ","")&amp;IF(N($N155)&lt;=0,"Invoice amount must be greater than zero. ","")&amp;IF(AND($H155&lt;&gt;"",$H155&gt;Settings!$C$5),"Invoice date is in the future. ","")&amp;IF(AND($K155="Received in Full",$J155=""),"Missing actual delivery date. ","")&amp;IF(ROUND(N($O155)-N($N155),2)&gt;0,"Payments exceed the invoice amount. ","")&amp;IF(AND($K155="Rejected",N($O155)&gt;0),"Payment made on a rejected delivery. ","")&amp;IF(AND($B155&lt;&gt;"",IFERROR(INDEX('Vendor Master'!$H$8:$H$47,MATCH($B155,'Vendor Master'!$A$8:$A$47,0)),"")="Inactive",ROUND(N($P155),2)&gt;0),"Open balance with an inactive vendor. ","")))</f>
        <v/>
      </c>
      <c r="Y155" s="53" t="str">
        <f aca="false">IF($A155="","",IF(ROUND($P155,2)&gt;0.004,"Yes","No"))</f>
        <v/>
      </c>
      <c r="Z155" s="49" t="str">
        <f aca="false">IF(OR($Y155&lt;&gt;"Yes",$M155=""),"",COUNTIFS('Invoice &amp; Delivery Log'!$Y$8:$Y$157,"Yes",'Invoice &amp; Delivery Log'!$M$8:$M$157,"&lt;"&amp;$M155)+COUNTIFS('Invoice &amp; Delivery Log'!$Y$8:$Y$157,"Yes",'Invoice &amp; Delivery Log'!$M$8:$M$157,$M155,'Invoice &amp; Delivery Log'!$A$8:$A$157,"&lt;"&amp;$A155)+1)</f>
        <v/>
      </c>
    </row>
    <row r="156" customFormat="false" ht="15" hidden="false" customHeight="true" outlineLevel="0" collapsed="false">
      <c r="A156" s="44"/>
      <c r="B156" s="44"/>
      <c r="C156" s="55" t="str">
        <f aca="false">IF($B156="","",IFERROR(INDEX('Vendor Master'!$B$8:$B$47,MATCH($B156,'Vendor Master'!$A$8:$A$47,0)),"NOT FOUND"))</f>
        <v/>
      </c>
      <c r="D156" s="44"/>
      <c r="E156" s="45"/>
      <c r="F156" s="55" t="str">
        <f aca="false">IF($B156="","",IFERROR(INDEX('Vendor Master'!$C$8:$C$47,MATCH($B156,'Vendor Master'!$A$8:$A$47,0)),""))</f>
        <v/>
      </c>
      <c r="G156" s="45"/>
      <c r="H156" s="56"/>
      <c r="I156" s="56"/>
      <c r="J156" s="56"/>
      <c r="K156" s="44"/>
      <c r="L156" s="57" t="str">
        <f aca="false">IF($B156="","",IFERROR(INDEX('Vendor Master'!$G$8:$G$47,MATCH($B156,'Vendor Master'!$A$8:$A$47,0)),""))</f>
        <v/>
      </c>
      <c r="M156" s="37" t="str">
        <f aca="false">IF(OR($H156="",$L156=""),"",$H156+$L156)</f>
        <v/>
      </c>
      <c r="N156" s="58"/>
      <c r="O156" s="30" t="str">
        <f aca="false">IF($A156="","",SUMIFS('Payments Log'!$F$8:$F$207,'Payments Log'!$B$8:$B$207,$A156))</f>
        <v/>
      </c>
      <c r="P156" s="30" t="str">
        <f aca="false">IF($A156="","",ROUND($N156-$O156,2))</f>
        <v/>
      </c>
      <c r="Q156" s="36" t="str">
        <f aca="false">IF($A156="","",IF(N($N156)&lt;=0,"Check Amount",IF(ROUND($O156,2)&lt;=0,"Unpaid",IF(ROUND($O156-$N156,2)&gt;0,"Overpaid",IF(ROUND($P156,2)&lt;=0,"Paid","Partially Paid")))))</f>
        <v/>
      </c>
      <c r="R156" s="47" t="str">
        <f aca="false">IF(OR($A156="",$M156=""),"",IF(ROUND($P156,2)&lt;=0,0,MAX(0,Settings!$C$5-$M156-Settings!$C$7)))</f>
        <v/>
      </c>
      <c r="S156" s="30" t="str">
        <f aca="false">IF($A156="","",IF(N($R156)&gt;0,MAX($P156,0),0))</f>
        <v/>
      </c>
      <c r="T156" s="36" t="str">
        <f aca="false">IF($A156="","",IF(ROUND($P156,2)&lt;0,"Supplier Credit",IF(ROUND($P156,2)=0,"Closed",IF($M156="","No Due Date",IF(N($R156)&lt;=0,"Not Due Yet",IF(N($R156)&lt;=Settings!$C$8,"1-30 Days Overdue",IF(N($R156)&lt;=Settings!$C$9,"31-60 Days Overdue",IF(N($R156)&lt;=Settings!$C$10,"61-90 Days Overdue","90+ Days Overdue"))))))))</f>
        <v/>
      </c>
      <c r="U156" s="37" t="str">
        <f aca="false">IF($A156="","",IF(COUNTIFS('Payments Log'!$B$8:$B$207,$A156)=0,"",SUMPRODUCT(MAX(('Payments Log'!$B$8:$B$207=$A156)*'Payments Log'!$E$8:$E$207))))</f>
        <v/>
      </c>
      <c r="V156" s="36" t="str">
        <f aca="false">IF($A156="","",IF($J156="","Not Delivered",IF($I156="","No Target Date",IF($J156&lt;=$I156,"On Time","Late"))))</f>
        <v/>
      </c>
      <c r="W156" s="36" t="str">
        <f aca="false">IF($A156="","",IF($X156="","OK","REVIEW"))</f>
        <v/>
      </c>
      <c r="X156" s="28" t="str">
        <f aca="false">IF($A156="","",TRIM(IF($B156="","Missing vendor ID. ","")&amp;IF($C156="NOT FOUND","Vendor ID not in Vendor Master. ","")&amp;IF(COUNTIFS('Invoice &amp; Delivery Log'!$A$8:$A$157,$A156)&gt;1,"Duplicate invoice ID. ","")&amp;IF(AND($D156&lt;&gt;"",COUNTIFS('Invoice &amp; Delivery Log'!$D$8:$D$157,$D156,'Invoice &amp; Delivery Log'!$B$8:$B$157,$B156)&gt;1),"Duplicate supplier invoice number. ","")&amp;IF($E156="","Missing PO number. ","")&amp;IF($H156="","Missing invoice date. ","")&amp;IF(N($N156)&lt;=0,"Invoice amount must be greater than zero. ","")&amp;IF(AND($H156&lt;&gt;"",$H156&gt;Settings!$C$5),"Invoice date is in the future. ","")&amp;IF(AND($K156="Received in Full",$J156=""),"Missing actual delivery date. ","")&amp;IF(ROUND(N($O156)-N($N156),2)&gt;0,"Payments exceed the invoice amount. ","")&amp;IF(AND($K156="Rejected",N($O156)&gt;0),"Payment made on a rejected delivery. ","")&amp;IF(AND($B156&lt;&gt;"",IFERROR(INDEX('Vendor Master'!$H$8:$H$47,MATCH($B156,'Vendor Master'!$A$8:$A$47,0)),"")="Inactive",ROUND(N($P156),2)&gt;0),"Open balance with an inactive vendor. ","")))</f>
        <v/>
      </c>
      <c r="Y156" s="36" t="str">
        <f aca="false">IF($A156="","",IF(ROUND($P156,2)&gt;0.004,"Yes","No"))</f>
        <v/>
      </c>
      <c r="Z156" s="29" t="str">
        <f aca="false">IF(OR($Y156&lt;&gt;"Yes",$M156=""),"",COUNTIFS('Invoice &amp; Delivery Log'!$Y$8:$Y$157,"Yes",'Invoice &amp; Delivery Log'!$M$8:$M$157,"&lt;"&amp;$M156)+COUNTIFS('Invoice &amp; Delivery Log'!$Y$8:$Y$157,"Yes",'Invoice &amp; Delivery Log'!$M$8:$M$157,$M156,'Invoice &amp; Delivery Log'!$A$8:$A$157,"&lt;"&amp;$A156)+1)</f>
        <v/>
      </c>
    </row>
    <row r="157" customFormat="false" ht="15" hidden="false" customHeight="true" outlineLevel="0" collapsed="false">
      <c r="A157" s="44"/>
      <c r="B157" s="44"/>
      <c r="C157" s="59" t="str">
        <f aca="false">IF($B157="","",IFERROR(INDEX('Vendor Master'!$B$8:$B$47,MATCH($B157,'Vendor Master'!$A$8:$A$47,0)),"NOT FOUND"))</f>
        <v/>
      </c>
      <c r="D157" s="44"/>
      <c r="E157" s="45"/>
      <c r="F157" s="59" t="str">
        <f aca="false">IF($B157="","",IFERROR(INDEX('Vendor Master'!$C$8:$C$47,MATCH($B157,'Vendor Master'!$A$8:$A$47,0)),""))</f>
        <v/>
      </c>
      <c r="G157" s="45"/>
      <c r="H157" s="56"/>
      <c r="I157" s="56"/>
      <c r="J157" s="56"/>
      <c r="K157" s="44"/>
      <c r="L157" s="60" t="str">
        <f aca="false">IF($B157="","",IFERROR(INDEX('Vendor Master'!$G$8:$G$47,MATCH($B157,'Vendor Master'!$A$8:$A$47,0)),""))</f>
        <v/>
      </c>
      <c r="M157" s="61" t="str">
        <f aca="false">IF(OR($H157="",$L157=""),"",$H157+$L157)</f>
        <v/>
      </c>
      <c r="N157" s="58"/>
      <c r="O157" s="50" t="str">
        <f aca="false">IF($A157="","",SUMIFS('Payments Log'!$F$8:$F$207,'Payments Log'!$B$8:$B$207,$A157))</f>
        <v/>
      </c>
      <c r="P157" s="50" t="str">
        <f aca="false">IF($A157="","",ROUND($N157-$O157,2))</f>
        <v/>
      </c>
      <c r="Q157" s="53" t="str">
        <f aca="false">IF($A157="","",IF(N($N157)&lt;=0,"Check Amount",IF(ROUND($O157,2)&lt;=0,"Unpaid",IF(ROUND($O157-$N157,2)&gt;0,"Overpaid",IF(ROUND($P157,2)&lt;=0,"Paid","Partially Paid")))))</f>
        <v/>
      </c>
      <c r="R157" s="52" t="str">
        <f aca="false">IF(OR($A157="",$M157=""),"",IF(ROUND($P157,2)&lt;=0,0,MAX(0,Settings!$C$5-$M157-Settings!$C$7)))</f>
        <v/>
      </c>
      <c r="S157" s="50" t="str">
        <f aca="false">IF($A157="","",IF(N($R157)&gt;0,MAX($P157,0),0))</f>
        <v/>
      </c>
      <c r="T157" s="53" t="str">
        <f aca="false">IF($A157="","",IF(ROUND($P157,2)&lt;0,"Supplier Credit",IF(ROUND($P157,2)=0,"Closed",IF($M157="","No Due Date",IF(N($R157)&lt;=0,"Not Due Yet",IF(N($R157)&lt;=Settings!$C$8,"1-30 Days Overdue",IF(N($R157)&lt;=Settings!$C$9,"31-60 Days Overdue",IF(N($R157)&lt;=Settings!$C$10,"61-90 Days Overdue","90+ Days Overdue"))))))))</f>
        <v/>
      </c>
      <c r="U157" s="61" t="str">
        <f aca="false">IF($A157="","",IF(COUNTIFS('Payments Log'!$B$8:$B$207,$A157)=0,"",SUMPRODUCT(MAX(('Payments Log'!$B$8:$B$207=$A157)*'Payments Log'!$E$8:$E$207))))</f>
        <v/>
      </c>
      <c r="V157" s="53" t="str">
        <f aca="false">IF($A157="","",IF($J157="","Not Delivered",IF($I157="","No Target Date",IF($J157&lt;=$I157,"On Time","Late"))))</f>
        <v/>
      </c>
      <c r="W157" s="53" t="str">
        <f aca="false">IF($A157="","",IF($X157="","OK","REVIEW"))</f>
        <v/>
      </c>
      <c r="X157" s="62" t="str">
        <f aca="false">IF($A157="","",TRIM(IF($B157="","Missing vendor ID. ","")&amp;IF($C157="NOT FOUND","Vendor ID not in Vendor Master. ","")&amp;IF(COUNTIFS('Invoice &amp; Delivery Log'!$A$8:$A$157,$A157)&gt;1,"Duplicate invoice ID. ","")&amp;IF(AND($D157&lt;&gt;"",COUNTIFS('Invoice &amp; Delivery Log'!$D$8:$D$157,$D157,'Invoice &amp; Delivery Log'!$B$8:$B$157,$B157)&gt;1),"Duplicate supplier invoice number. ","")&amp;IF($E157="","Missing PO number. ","")&amp;IF($H157="","Missing invoice date. ","")&amp;IF(N($N157)&lt;=0,"Invoice amount must be greater than zero. ","")&amp;IF(AND($H157&lt;&gt;"",$H157&gt;Settings!$C$5),"Invoice date is in the future. ","")&amp;IF(AND($K157="Received in Full",$J157=""),"Missing actual delivery date. ","")&amp;IF(ROUND(N($O157)-N($N157),2)&gt;0,"Payments exceed the invoice amount. ","")&amp;IF(AND($K157="Rejected",N($O157)&gt;0),"Payment made on a rejected delivery. ","")&amp;IF(AND($B157&lt;&gt;"",IFERROR(INDEX('Vendor Master'!$H$8:$H$47,MATCH($B157,'Vendor Master'!$A$8:$A$47,0)),"")="Inactive",ROUND(N($P157),2)&gt;0),"Open balance with an inactive vendor. ","")))</f>
        <v/>
      </c>
      <c r="Y157" s="53" t="str">
        <f aca="false">IF($A157="","",IF(ROUND($P157,2)&gt;0.004,"Yes","No"))</f>
        <v/>
      </c>
      <c r="Z157" s="49" t="str">
        <f aca="false">IF(OR($Y157&lt;&gt;"Yes",$M157=""),"",COUNTIFS('Invoice &amp; Delivery Log'!$Y$8:$Y$157,"Yes",'Invoice &amp; Delivery Log'!$M$8:$M$157,"&lt;"&amp;$M157)+COUNTIFS('Invoice &amp; Delivery Log'!$Y$8:$Y$157,"Yes",'Invoice &amp; Delivery Log'!$M$8:$M$157,$M157,'Invoice &amp; Delivery Log'!$A$8:$A$157,"&lt;"&amp;$A157)+1)</f>
        <v/>
      </c>
    </row>
  </sheetData>
  <autoFilter ref="A7:X157"/>
  <mergeCells count="2">
    <mergeCell ref="A1:Z1"/>
    <mergeCell ref="A2:Z2"/>
  </mergeCells>
  <conditionalFormatting sqref="Q8:Q157">
    <cfRule type="expression" priority="2" aboveAverage="0" equalAverage="0" bottom="0" percent="0" rank="0" text="" dxfId="22">
      <formula>$Q8="Paid"</formula>
    </cfRule>
    <cfRule type="expression" priority="3" aboveAverage="0" equalAverage="0" bottom="0" percent="0" rank="0" text="" dxfId="24">
      <formula>$Q8="Partially Paid"</formula>
    </cfRule>
    <cfRule type="expression" priority="4" aboveAverage="0" equalAverage="0" bottom="0" percent="0" rank="0" text="" dxfId="23">
      <formula>$Q8="Unpaid"</formula>
    </cfRule>
    <cfRule type="expression" priority="5" aboveAverage="0" equalAverage="0" bottom="0" percent="0" rank="0" text="" dxfId="5">
      <formula>OR($Q8="Overpaid",$Q8="Check Amount")</formula>
    </cfRule>
  </conditionalFormatting>
  <conditionalFormatting sqref="R8:S157">
    <cfRule type="expression" priority="6" aboveAverage="0" equalAverage="0" bottom="0" percent="0" rank="0" text="" dxfId="5">
      <formula>N($R8)&gt;0</formula>
    </cfRule>
  </conditionalFormatting>
  <conditionalFormatting sqref="T8:T157">
    <cfRule type="expression" priority="7" aboveAverage="0" equalAverage="0" bottom="0" percent="0" rank="0" text="" dxfId="28">
      <formula>$T8="Closed"</formula>
    </cfRule>
    <cfRule type="expression" priority="8" aboveAverage="0" equalAverage="0" bottom="0" percent="0" rank="0" text="" dxfId="23">
      <formula>$T8="Supplier Credit"</formula>
    </cfRule>
    <cfRule type="expression" priority="9" aboveAverage="0" equalAverage="0" bottom="0" percent="0" rank="0" text="" dxfId="5">
      <formula>AND($T8&lt;&gt;"Closed",$T8&lt;&gt;"Not Due Yet",$T8&lt;&gt;"Supplier Credit",$T8&lt;&gt;"")</formula>
    </cfRule>
  </conditionalFormatting>
  <conditionalFormatting sqref="V8:V157">
    <cfRule type="expression" priority="10" aboveAverage="0" equalAverage="0" bottom="0" percent="0" rank="0" text="" dxfId="4">
      <formula>$V8="On Time"</formula>
    </cfRule>
    <cfRule type="expression" priority="11" aboveAverage="0" equalAverage="0" bottom="0" percent="0" rank="0" text="" dxfId="24">
      <formula>$V8="Late"</formula>
    </cfRule>
  </conditionalFormatting>
  <conditionalFormatting sqref="W8:X157">
    <cfRule type="expression" priority="12" aboveAverage="0" equalAverage="0" bottom="0" percent="0" rank="0" text="" dxfId="5">
      <formula>$W8="REVIEW"</formula>
    </cfRule>
  </conditionalFormatting>
  <conditionalFormatting sqref="W8:W157">
    <cfRule type="expression" priority="13" aboveAverage="0" equalAverage="0" bottom="0" percent="0" rank="0" text="" dxfId="29">
      <formula>$W8="OK"</formula>
    </cfRule>
  </conditionalFormatting>
  <dataValidations count="4">
    <dataValidation allowBlank="true" error="Add the vendor to Vendor Master first." errorStyle="stop" errorTitle="Unknown Vendor ID" operator="between" showDropDown="false" showErrorMessage="false" showInputMessage="false" sqref="B8:B157" type="list">
      <formula1>'Vendor Master'!$A$8:$A$47</formula1>
      <formula2>0</formula2>
    </dataValidation>
    <dataValidation allowBlank="true" error="Choose a status from the list." errorStyle="stop" errorTitle="Goods Receipt Status" operator="between" showDropDown="false" showErrorMessage="false" showInputMessage="false" sqref="K8:K157" type="list">
      <formula1>Settings!$C$27:$C$40</formula1>
      <formula2>0</formula2>
    </dataValidation>
    <dataValidation allowBlank="true" error="The invoice amount must be greater than zero." errorStyle="stop" errorTitle="Invoice Amount" operator="greaterThan" showDropDown="false" showErrorMessage="false" showInputMessage="false" sqref="N8:N157" type="decimal">
      <formula1>0</formula1>
      <formula2>0</formula2>
    </dataValidation>
    <dataValidation allowBlank="true" error="Enter a real date between 2020 and 2035." errorStyle="stop" errorTitle="Date" operator="between" showDropDown="false" showErrorMessage="false" showInputMessage="false" sqref="H8:J157" type="date">
      <formula1>2020-1-1</formula1>
      <formula2>2035-12-31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VendorFlow — Supplier Invoice, Payment &amp;&amp; Performance System&amp;R&amp;8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A88"/>
    <pageSetUpPr fitToPage="true"/>
  </sheetPr>
  <dimension ref="A1:R20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10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8" min="6" style="1" width="14"/>
    <col collapsed="false" customWidth="true" hidden="false" outlineLevel="0" max="9" min="9" style="1" width="26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14"/>
    <col collapsed="false" customWidth="true" hidden="false" outlineLevel="0" max="16" min="15" style="1" width="16"/>
    <col collapsed="false" customWidth="true" hidden="false" outlineLevel="0" max="17" min="17" style="1" width="11"/>
    <col collapsed="false" customWidth="true" hidden="false" outlineLevel="0" max="18" min="18" style="1" width="34"/>
  </cols>
  <sheetData>
    <row r="1" customFormat="false" ht="30" hidden="false" customHeight="true" outlineLevel="0" collapsed="false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8" hidden="false" customHeight="true" outlineLevel="0" collapsed="false">
      <c r="A2" s="3" t="s">
        <v>442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4" customFormat="false" ht="15" hidden="false" customHeight="true" outlineLevel="0" collapsed="false">
      <c r="A4" s="41" t="s">
        <v>443</v>
      </c>
    </row>
    <row r="5" customFormat="false" ht="15" hidden="false" customHeight="true" outlineLevel="0" collapsed="false">
      <c r="A5" s="40" t="s">
        <v>444</v>
      </c>
    </row>
    <row r="7" customFormat="false" ht="31.5" hidden="false" customHeight="true" outlineLevel="0" collapsed="false">
      <c r="A7" s="42" t="s">
        <v>445</v>
      </c>
      <c r="B7" s="42" t="s">
        <v>113</v>
      </c>
      <c r="C7" s="43" t="s">
        <v>124</v>
      </c>
      <c r="D7" s="43" t="s">
        <v>109</v>
      </c>
      <c r="E7" s="42" t="s">
        <v>446</v>
      </c>
      <c r="F7" s="42" t="s">
        <v>447</v>
      </c>
      <c r="G7" s="42" t="s">
        <v>448</v>
      </c>
      <c r="H7" s="42" t="s">
        <v>449</v>
      </c>
      <c r="I7" s="42" t="s">
        <v>450</v>
      </c>
      <c r="J7" s="43" t="s">
        <v>220</v>
      </c>
      <c r="K7" s="43" t="s">
        <v>451</v>
      </c>
      <c r="L7" s="43" t="s">
        <v>452</v>
      </c>
      <c r="M7" s="43" t="s">
        <v>453</v>
      </c>
      <c r="N7" s="43" t="s">
        <v>454</v>
      </c>
      <c r="O7" s="43" t="s">
        <v>455</v>
      </c>
      <c r="P7" s="43" t="s">
        <v>456</v>
      </c>
      <c r="Q7" s="43" t="s">
        <v>229</v>
      </c>
      <c r="R7" s="43" t="s">
        <v>230</v>
      </c>
    </row>
    <row r="8" customFormat="false" ht="15" hidden="false" customHeight="true" outlineLevel="0" collapsed="false">
      <c r="A8" s="44" t="s">
        <v>457</v>
      </c>
      <c r="B8" s="44" t="s">
        <v>238</v>
      </c>
      <c r="C8" s="63" t="str">
        <f aca="false">IF($B8="","",IFERROR(INDEX('Invoice &amp; Delivery Log'!$B$8:$B$157,MATCH($B8,'Invoice &amp; Delivery Log'!$A$8:$A$157,0)),""))</f>
        <v>VEN-006</v>
      </c>
      <c r="D8" s="55" t="str">
        <f aca="false">IF($B8="","",IFERROR(INDEX('Invoice &amp; Delivery Log'!$C$8:$C$157,MATCH($B8,'Invoice &amp; Delivery Log'!$A$8:$A$157,0)),"INVOICE NOT FOUND"))</f>
        <v>Harborline Logistics</v>
      </c>
      <c r="E8" s="56" t="n">
        <v>46092</v>
      </c>
      <c r="F8" s="58" t="n">
        <v>3377.05</v>
      </c>
      <c r="G8" s="44" t="s">
        <v>458</v>
      </c>
      <c r="H8" s="45" t="s">
        <v>459</v>
      </c>
      <c r="I8" s="45" t="s">
        <v>460</v>
      </c>
      <c r="J8" s="64" t="n">
        <f aca="false">IF($B8="","",IFERROR(INDEX('Invoice &amp; Delivery Log'!$H$8:$H$157,MATCH($B8,'Invoice &amp; Delivery Log'!$A$8:$A$157,0)),""))</f>
        <v>46085</v>
      </c>
      <c r="K8" s="64" t="n">
        <f aca="false">IF($B8="","",IFERROR(INDEX('Invoice &amp; Delivery Log'!$M$8:$M$157,MATCH($B8,'Invoice &amp; Delivery Log'!$A$8:$A$157,0)),""))</f>
        <v>46115</v>
      </c>
      <c r="L8" s="47" t="n">
        <f aca="false">IF(OR($E8="",$J8=""),"",$E8-$J8)</f>
        <v>7</v>
      </c>
      <c r="M8" s="47" t="n">
        <f aca="false">IF(OR($E8="",$K8=""),"",$E8-$K8)</f>
        <v>-23</v>
      </c>
      <c r="N8" s="36" t="str">
        <f aca="false">IF(OR($E8="",$K8=""),"n/a",IF($E8&lt;=$K8,"On Time","Late"))</f>
        <v>On Time</v>
      </c>
      <c r="O8" s="30" t="n">
        <f aca="false">IF($B8="","",SUMIFS($F$8:$F8,$B$8:$B8,$B8))</f>
        <v>3377.05</v>
      </c>
      <c r="P8" s="30" t="n">
        <f aca="false">IF($B8="","",IFERROR(ROUND(INDEX('Invoice &amp; Delivery Log'!$N$8:$N$157,MATCH($B8,'Invoice &amp; Delivery Log'!$A$8:$A$157,0))-$O8,2),""))</f>
        <v>2606.64</v>
      </c>
      <c r="Q8" s="36" t="str">
        <f aca="false">IF($A8="","",IF($R8="","OK","REVIEW"))</f>
        <v>OK</v>
      </c>
      <c r="R8" s="28" t="str">
        <f aca="false">IF($A8="","",TRIM(IF($B8="","Missing invoice ID. ","")&amp;IF(AND($B8&lt;&gt;"",COUNTIFS('Invoice &amp; Delivery Log'!$A$8:$A$157,$B8)=0),"Invoice ID not found in the invoice log. ","")&amp;IF(COUNTIFS('Payments Log'!$A$8:$A$207,$A8)&gt;1,"Duplicate payment ID. ","")&amp;IF(N($F8)&lt;=0,"Payment amount must be greater than zero. ","")&amp;IF($E8="","Missing payment date. ","")&amp;IF(AND($E8&lt;&gt;"",$J8&lt;&gt;"",$E8&lt;$J8),"Payment dated before the invoice date. ","")&amp;IF(AND($E8&lt;&gt;"",$E8&gt;Settings!$C$5),"Payment date is in the future. ","")&amp;IF(ROUND(N($P8),2)&lt;0,"Payment exceeds the invoice balance. ","")&amp;IF($G8="","Missing payment method. ","")))</f>
        <v/>
      </c>
    </row>
    <row r="9" customFormat="false" ht="15" hidden="false" customHeight="true" outlineLevel="0" collapsed="false">
      <c r="A9" s="44" t="s">
        <v>461</v>
      </c>
      <c r="B9" s="44" t="s">
        <v>246</v>
      </c>
      <c r="C9" s="65" t="str">
        <f aca="false">IF($B9="","",IFERROR(INDEX('Invoice &amp; Delivery Log'!$B$8:$B$157,MATCH($B9,'Invoice &amp; Delivery Log'!$A$8:$A$157,0)),""))</f>
        <v>VEN-002</v>
      </c>
      <c r="D9" s="59" t="str">
        <f aca="false">IF($B9="","",IFERROR(INDEX('Invoice &amp; Delivery Log'!$C$8:$C$157,MATCH($B9,'Invoice &amp; Delivery Log'!$A$8:$A$157,0)),"INVOICE NOT FOUND"))</f>
        <v>Cascade Foods Distribution</v>
      </c>
      <c r="E9" s="56" t="n">
        <v>46093</v>
      </c>
      <c r="F9" s="58" t="n">
        <v>1430.85</v>
      </c>
      <c r="G9" s="44" t="s">
        <v>462</v>
      </c>
      <c r="H9" s="45" t="s">
        <v>463</v>
      </c>
      <c r="I9" s="45" t="s">
        <v>460</v>
      </c>
      <c r="J9" s="66" t="n">
        <f aca="false">IF($B9="","",IFERROR(INDEX('Invoice &amp; Delivery Log'!$H$8:$H$157,MATCH($B9,'Invoice &amp; Delivery Log'!$A$8:$A$157,0)),""))</f>
        <v>46090</v>
      </c>
      <c r="K9" s="66" t="n">
        <f aca="false">IF($B9="","",IFERROR(INDEX('Invoice &amp; Delivery Log'!$M$8:$M$157,MATCH($B9,'Invoice &amp; Delivery Log'!$A$8:$A$157,0)),""))</f>
        <v>46105</v>
      </c>
      <c r="L9" s="52" t="n">
        <f aca="false">IF(OR($E9="",$J9=""),"",$E9-$J9)</f>
        <v>3</v>
      </c>
      <c r="M9" s="52" t="n">
        <f aca="false">IF(OR($E9="",$K9=""),"",$E9-$K9)</f>
        <v>-12</v>
      </c>
      <c r="N9" s="53" t="str">
        <f aca="false">IF(OR($E9="",$K9=""),"n/a",IF($E9&lt;=$K9,"On Time","Late"))</f>
        <v>On Time</v>
      </c>
      <c r="O9" s="50" t="n">
        <f aca="false">IF($B9="","",SUMIFS($F$8:$F9,$B$8:$B9,$B9))</f>
        <v>1430.85</v>
      </c>
      <c r="P9" s="50" t="n">
        <f aca="false">IF($B9="","",IFERROR(ROUND(INDEX('Invoice &amp; Delivery Log'!$N$8:$N$157,MATCH($B9,'Invoice &amp; Delivery Log'!$A$8:$A$157,0))-$O9,2),""))</f>
        <v>2209.41</v>
      </c>
      <c r="Q9" s="53" t="str">
        <f aca="false">IF($A9="","",IF($R9="","OK","REVIEW"))</f>
        <v>OK</v>
      </c>
      <c r="R9" s="62" t="str">
        <f aca="false">IF($A9="","",TRIM(IF($B9="","Missing invoice ID. ","")&amp;IF(AND($B9&lt;&gt;"",COUNTIFS('Invoice &amp; Delivery Log'!$A$8:$A$157,$B9)=0),"Invoice ID not found in the invoice log. ","")&amp;IF(COUNTIFS('Payments Log'!$A$8:$A$207,$A9)&gt;1,"Duplicate payment ID. ","")&amp;IF(N($F9)&lt;=0,"Payment amount must be greater than zero. ","")&amp;IF($E9="","Missing payment date. ","")&amp;IF(AND($E9&lt;&gt;"",$J9&lt;&gt;"",$E9&lt;$J9),"Payment dated before the invoice date. ","")&amp;IF(AND($E9&lt;&gt;"",$E9&gt;Settings!$C$5),"Payment date is in the future. ","")&amp;IF(ROUND(N($P9),2)&lt;0,"Payment exceeds the invoice balance. ","")&amp;IF($G9="","Missing payment method. ","")))</f>
        <v/>
      </c>
    </row>
    <row r="10" customFormat="false" ht="15" hidden="false" customHeight="true" outlineLevel="0" collapsed="false">
      <c r="A10" s="44" t="s">
        <v>464</v>
      </c>
      <c r="B10" s="44" t="s">
        <v>238</v>
      </c>
      <c r="C10" s="63" t="str">
        <f aca="false">IF($B10="","",IFERROR(INDEX('Invoice &amp; Delivery Log'!$B$8:$B$157,MATCH($B10,'Invoice &amp; Delivery Log'!$A$8:$A$157,0)),""))</f>
        <v>VEN-006</v>
      </c>
      <c r="D10" s="55" t="str">
        <f aca="false">IF($B10="","",IFERROR(INDEX('Invoice &amp; Delivery Log'!$C$8:$C$157,MATCH($B10,'Invoice &amp; Delivery Log'!$A$8:$A$157,0)),"INVOICE NOT FOUND"))</f>
        <v>Harborline Logistics</v>
      </c>
      <c r="E10" s="56" t="n">
        <v>46098</v>
      </c>
      <c r="F10" s="58" t="n">
        <v>2606.64</v>
      </c>
      <c r="G10" s="44" t="s">
        <v>458</v>
      </c>
      <c r="H10" s="45" t="s">
        <v>465</v>
      </c>
      <c r="I10" s="45" t="s">
        <v>466</v>
      </c>
      <c r="J10" s="64" t="n">
        <f aca="false">IF($B10="","",IFERROR(INDEX('Invoice &amp; Delivery Log'!$H$8:$H$157,MATCH($B10,'Invoice &amp; Delivery Log'!$A$8:$A$157,0)),""))</f>
        <v>46085</v>
      </c>
      <c r="K10" s="64" t="n">
        <f aca="false">IF($B10="","",IFERROR(INDEX('Invoice &amp; Delivery Log'!$M$8:$M$157,MATCH($B10,'Invoice &amp; Delivery Log'!$A$8:$A$157,0)),""))</f>
        <v>46115</v>
      </c>
      <c r="L10" s="47" t="n">
        <f aca="false">IF(OR($E10="",$J10=""),"",$E10-$J10)</f>
        <v>13</v>
      </c>
      <c r="M10" s="47" t="n">
        <f aca="false">IF(OR($E10="",$K10=""),"",$E10-$K10)</f>
        <v>-17</v>
      </c>
      <c r="N10" s="36" t="str">
        <f aca="false">IF(OR($E10="",$K10=""),"n/a",IF($E10&lt;=$K10,"On Time","Late"))</f>
        <v>On Time</v>
      </c>
      <c r="O10" s="30" t="n">
        <f aca="false">IF($B10="","",SUMIFS($F$8:$F10,$B$8:$B10,$B10))</f>
        <v>5983.69</v>
      </c>
      <c r="P10" s="30" t="n">
        <f aca="false">IF($B10="","",IFERROR(ROUND(INDEX('Invoice &amp; Delivery Log'!$N$8:$N$157,MATCH($B10,'Invoice &amp; Delivery Log'!$A$8:$A$157,0))-$O10,2),""))</f>
        <v>0</v>
      </c>
      <c r="Q10" s="36" t="str">
        <f aca="false">IF($A10="","",IF($R10="","OK","REVIEW"))</f>
        <v>OK</v>
      </c>
      <c r="R10" s="28" t="str">
        <f aca="false">IF($A10="","",TRIM(IF($B10="","Missing invoice ID. ","")&amp;IF(AND($B10&lt;&gt;"",COUNTIFS('Invoice &amp; Delivery Log'!$A$8:$A$157,$B10)=0),"Invoice ID not found in the invoice log. ","")&amp;IF(COUNTIFS('Payments Log'!$A$8:$A$207,$A10)&gt;1,"Duplicate payment ID. ","")&amp;IF(N($F10)&lt;=0,"Payment amount must be greater than zero. ","")&amp;IF($E10="","Missing payment date. ","")&amp;IF(AND($E10&lt;&gt;"",$J10&lt;&gt;"",$E10&lt;$J10),"Payment dated before the invoice date. ","")&amp;IF(AND($E10&lt;&gt;"",$E10&gt;Settings!$C$5),"Payment date is in the future. ","")&amp;IF(ROUND(N($P10),2)&lt;0,"Payment exceeds the invoice balance. ","")&amp;IF($G10="","Missing payment method. ","")))</f>
        <v/>
      </c>
    </row>
    <row r="11" customFormat="false" ht="15" hidden="false" customHeight="true" outlineLevel="0" collapsed="false">
      <c r="A11" s="44" t="s">
        <v>467</v>
      </c>
      <c r="B11" s="44" t="s">
        <v>254</v>
      </c>
      <c r="C11" s="65" t="str">
        <f aca="false">IF($B11="","",IFERROR(INDEX('Invoice &amp; Delivery Log'!$B$8:$B$157,MATCH($B11,'Invoice &amp; Delivery Log'!$A$8:$A$157,0)),""))</f>
        <v>VEN-005</v>
      </c>
      <c r="D11" s="59" t="str">
        <f aca="false">IF($B11="","",IFERROR(INDEX('Invoice &amp; Delivery Log'!$C$8:$C$157,MATCH($B11,'Invoice &amp; Delivery Log'!$A$8:$A$157,0)),"INVOICE NOT FOUND"))</f>
        <v>Summit Cleaning Services</v>
      </c>
      <c r="E11" s="56" t="n">
        <v>46106</v>
      </c>
      <c r="F11" s="58" t="n">
        <v>1677.01</v>
      </c>
      <c r="G11" s="44" t="s">
        <v>458</v>
      </c>
      <c r="H11" s="45" t="s">
        <v>468</v>
      </c>
      <c r="I11" s="45" t="s">
        <v>469</v>
      </c>
      <c r="J11" s="66" t="n">
        <f aca="false">IF($B11="","",IFERROR(INDEX('Invoice &amp; Delivery Log'!$H$8:$H$157,MATCH($B11,'Invoice &amp; Delivery Log'!$A$8:$A$157,0)),""))</f>
        <v>46095</v>
      </c>
      <c r="K11" s="66" t="n">
        <f aca="false">IF($B11="","",IFERROR(INDEX('Invoice &amp; Delivery Log'!$M$8:$M$157,MATCH($B11,'Invoice &amp; Delivery Log'!$A$8:$A$157,0)),""))</f>
        <v>46109</v>
      </c>
      <c r="L11" s="52" t="n">
        <f aca="false">IF(OR($E11="",$J11=""),"",$E11-$J11)</f>
        <v>11</v>
      </c>
      <c r="M11" s="52" t="n">
        <f aca="false">IF(OR($E11="",$K11=""),"",$E11-$K11)</f>
        <v>-3</v>
      </c>
      <c r="N11" s="53" t="str">
        <f aca="false">IF(OR($E11="",$K11=""),"n/a",IF($E11&lt;=$K11,"On Time","Late"))</f>
        <v>On Time</v>
      </c>
      <c r="O11" s="50" t="n">
        <f aca="false">IF($B11="","",SUMIFS($F$8:$F11,$B$8:$B11,$B11))</f>
        <v>1677.01</v>
      </c>
      <c r="P11" s="50" t="n">
        <f aca="false">IF($B11="","",IFERROR(ROUND(INDEX('Invoice &amp; Delivery Log'!$N$8:$N$157,MATCH($B11,'Invoice &amp; Delivery Log'!$A$8:$A$157,0))-$O11,2),""))</f>
        <v>0</v>
      </c>
      <c r="Q11" s="53" t="str">
        <f aca="false">IF($A11="","",IF($R11="","OK","REVIEW"))</f>
        <v>OK</v>
      </c>
      <c r="R11" s="62" t="str">
        <f aca="false">IF($A11="","",TRIM(IF($B11="","Missing invoice ID. ","")&amp;IF(AND($B11&lt;&gt;"",COUNTIFS('Invoice &amp; Delivery Log'!$A$8:$A$157,$B11)=0),"Invoice ID not found in the invoice log. ","")&amp;IF(COUNTIFS('Payments Log'!$A$8:$A$207,$A11)&gt;1,"Duplicate payment ID. ","")&amp;IF(N($F11)&lt;=0,"Payment amount must be greater than zero. ","")&amp;IF($E11="","Missing payment date. ","")&amp;IF(AND($E11&lt;&gt;"",$J11&lt;&gt;"",$E11&lt;$J11),"Payment dated before the invoice date. ","")&amp;IF(AND($E11&lt;&gt;"",$E11&gt;Settings!$C$5),"Payment date is in the future. ","")&amp;IF(ROUND(N($P11),2)&lt;0,"Payment exceeds the invoice balance. ","")&amp;IF($G11="","Missing payment method. ","")))</f>
        <v/>
      </c>
    </row>
    <row r="12" customFormat="false" ht="15" hidden="false" customHeight="true" outlineLevel="0" collapsed="false">
      <c r="A12" s="44" t="s">
        <v>470</v>
      </c>
      <c r="B12" s="44" t="s">
        <v>246</v>
      </c>
      <c r="C12" s="63" t="str">
        <f aca="false">IF($B12="","",IFERROR(INDEX('Invoice &amp; Delivery Log'!$B$8:$B$157,MATCH($B12,'Invoice &amp; Delivery Log'!$A$8:$A$157,0)),""))</f>
        <v>VEN-002</v>
      </c>
      <c r="D12" s="55" t="str">
        <f aca="false">IF($B12="","",IFERROR(INDEX('Invoice &amp; Delivery Log'!$C$8:$C$157,MATCH($B12,'Invoice &amp; Delivery Log'!$A$8:$A$157,0)),"INVOICE NOT FOUND"))</f>
        <v>Cascade Foods Distribution</v>
      </c>
      <c r="E12" s="56" t="n">
        <v>46107</v>
      </c>
      <c r="F12" s="58" t="n">
        <v>2209.41</v>
      </c>
      <c r="G12" s="44" t="s">
        <v>458</v>
      </c>
      <c r="H12" s="45" t="s">
        <v>471</v>
      </c>
      <c r="I12" s="45" t="s">
        <v>466</v>
      </c>
      <c r="J12" s="64" t="n">
        <f aca="false">IF($B12="","",IFERROR(INDEX('Invoice &amp; Delivery Log'!$H$8:$H$157,MATCH($B12,'Invoice &amp; Delivery Log'!$A$8:$A$157,0)),""))</f>
        <v>46090</v>
      </c>
      <c r="K12" s="64" t="n">
        <f aca="false">IF($B12="","",IFERROR(INDEX('Invoice &amp; Delivery Log'!$M$8:$M$157,MATCH($B12,'Invoice &amp; Delivery Log'!$A$8:$A$157,0)),""))</f>
        <v>46105</v>
      </c>
      <c r="L12" s="47" t="n">
        <f aca="false">IF(OR($E12="",$J12=""),"",$E12-$J12)</f>
        <v>17</v>
      </c>
      <c r="M12" s="47" t="n">
        <f aca="false">IF(OR($E12="",$K12=""),"",$E12-$K12)</f>
        <v>2</v>
      </c>
      <c r="N12" s="36" t="str">
        <f aca="false">IF(OR($E12="",$K12=""),"n/a",IF($E12&lt;=$K12,"On Time","Late"))</f>
        <v>Late</v>
      </c>
      <c r="O12" s="30" t="n">
        <f aca="false">IF($B12="","",SUMIFS($F$8:$F12,$B$8:$B12,$B12))</f>
        <v>3640.26</v>
      </c>
      <c r="P12" s="30" t="n">
        <f aca="false">IF($B12="","",IFERROR(ROUND(INDEX('Invoice &amp; Delivery Log'!$N$8:$N$157,MATCH($B12,'Invoice &amp; Delivery Log'!$A$8:$A$157,0))-$O12,2),""))</f>
        <v>0</v>
      </c>
      <c r="Q12" s="36" t="str">
        <f aca="false">IF($A12="","",IF($R12="","OK","REVIEW"))</f>
        <v>OK</v>
      </c>
      <c r="R12" s="28" t="str">
        <f aca="false">IF($A12="","",TRIM(IF($B12="","Missing invoice ID. ","")&amp;IF(AND($B12&lt;&gt;"",COUNTIFS('Invoice &amp; Delivery Log'!$A$8:$A$157,$B12)=0),"Invoice ID not found in the invoice log. ","")&amp;IF(COUNTIFS('Payments Log'!$A$8:$A$207,$A12)&gt;1,"Duplicate payment ID. ","")&amp;IF(N($F12)&lt;=0,"Payment amount must be greater than zero. ","")&amp;IF($E12="","Missing payment date. ","")&amp;IF(AND($E12&lt;&gt;"",$J12&lt;&gt;"",$E12&lt;$J12),"Payment dated before the invoice date. ","")&amp;IF(AND($E12&lt;&gt;"",$E12&gt;Settings!$C$5),"Payment date is in the future. ","")&amp;IF(ROUND(N($P12),2)&lt;0,"Payment exceeds the invoice balance. ","")&amp;IF($G12="","Missing payment method. ","")))</f>
        <v/>
      </c>
    </row>
    <row r="13" customFormat="false" ht="15" hidden="false" customHeight="true" outlineLevel="0" collapsed="false">
      <c r="A13" s="44" t="s">
        <v>472</v>
      </c>
      <c r="B13" s="44" t="s">
        <v>250</v>
      </c>
      <c r="C13" s="65" t="str">
        <f aca="false">IF($B13="","",IFERROR(INDEX('Invoice &amp; Delivery Log'!$B$8:$B$157,MATCH($B13,'Invoice &amp; Delivery Log'!$A$8:$A$157,0)),""))</f>
        <v>VEN-006</v>
      </c>
      <c r="D13" s="59" t="str">
        <f aca="false">IF($B13="","",IFERROR(INDEX('Invoice &amp; Delivery Log'!$C$8:$C$157,MATCH($B13,'Invoice &amp; Delivery Log'!$A$8:$A$157,0)),"INVOICE NOT FOUND"))</f>
        <v>Harborline Logistics</v>
      </c>
      <c r="E13" s="56" t="n">
        <v>46117</v>
      </c>
      <c r="F13" s="58" t="n">
        <v>4496.18</v>
      </c>
      <c r="G13" s="44" t="s">
        <v>473</v>
      </c>
      <c r="H13" s="45" t="s">
        <v>474</v>
      </c>
      <c r="I13" s="45" t="s">
        <v>469</v>
      </c>
      <c r="J13" s="66" t="n">
        <f aca="false">IF($B13="","",IFERROR(INDEX('Invoice &amp; Delivery Log'!$H$8:$H$157,MATCH($B13,'Invoice &amp; Delivery Log'!$A$8:$A$157,0)),""))</f>
        <v>46094</v>
      </c>
      <c r="K13" s="66" t="n">
        <f aca="false">IF($B13="","",IFERROR(INDEX('Invoice &amp; Delivery Log'!$M$8:$M$157,MATCH($B13,'Invoice &amp; Delivery Log'!$A$8:$A$157,0)),""))</f>
        <v>46124</v>
      </c>
      <c r="L13" s="52" t="n">
        <f aca="false">IF(OR($E13="",$J13=""),"",$E13-$J13)</f>
        <v>23</v>
      </c>
      <c r="M13" s="52" t="n">
        <f aca="false">IF(OR($E13="",$K13=""),"",$E13-$K13)</f>
        <v>-7</v>
      </c>
      <c r="N13" s="53" t="str">
        <f aca="false">IF(OR($E13="",$K13=""),"n/a",IF($E13&lt;=$K13,"On Time","Late"))</f>
        <v>On Time</v>
      </c>
      <c r="O13" s="50" t="n">
        <f aca="false">IF($B13="","",SUMIFS($F$8:$F13,$B$8:$B13,$B13))</f>
        <v>4496.18</v>
      </c>
      <c r="P13" s="50" t="n">
        <f aca="false">IF($B13="","",IFERROR(ROUND(INDEX('Invoice &amp; Delivery Log'!$N$8:$N$157,MATCH($B13,'Invoice &amp; Delivery Log'!$A$8:$A$157,0))-$O13,2),""))</f>
        <v>0</v>
      </c>
      <c r="Q13" s="53" t="str">
        <f aca="false">IF($A13="","",IF($R13="","OK","REVIEW"))</f>
        <v>OK</v>
      </c>
      <c r="R13" s="62" t="str">
        <f aca="false">IF($A13="","",TRIM(IF($B13="","Missing invoice ID. ","")&amp;IF(AND($B13&lt;&gt;"",COUNTIFS('Invoice &amp; Delivery Log'!$A$8:$A$157,$B13)=0),"Invoice ID not found in the invoice log. ","")&amp;IF(COUNTIFS('Payments Log'!$A$8:$A$207,$A13)&gt;1,"Duplicate payment ID. ","")&amp;IF(N($F13)&lt;=0,"Payment amount must be greater than zero. ","")&amp;IF($E13="","Missing payment date. ","")&amp;IF(AND($E13&lt;&gt;"",$J13&lt;&gt;"",$E13&lt;$J13),"Payment dated before the invoice date. ","")&amp;IF(AND($E13&lt;&gt;"",$E13&gt;Settings!$C$5),"Payment date is in the future. ","")&amp;IF(ROUND(N($P13),2)&lt;0,"Payment exceeds the invoice balance. ","")&amp;IF($G13="","Missing payment method. ","")))</f>
        <v/>
      </c>
    </row>
    <row r="14" customFormat="false" ht="15" hidden="false" customHeight="true" outlineLevel="0" collapsed="false">
      <c r="A14" s="44" t="s">
        <v>475</v>
      </c>
      <c r="B14" s="44" t="s">
        <v>258</v>
      </c>
      <c r="C14" s="63" t="str">
        <f aca="false">IF($B14="","",IFERROR(INDEX('Invoice &amp; Delivery Log'!$B$8:$B$157,MATCH($B14,'Invoice &amp; Delivery Log'!$A$8:$A$157,0)),""))</f>
        <v>VEN-012</v>
      </c>
      <c r="D14" s="55" t="str">
        <f aca="false">IF($B14="","",IFERROR(INDEX('Invoice &amp; Delivery Log'!$C$8:$C$157,MATCH($B14,'Invoice &amp; Delivery Log'!$A$8:$A$157,0)),"INVOICE NOT FOUND"))</f>
        <v>Willowbrook Beverage Co.</v>
      </c>
      <c r="E14" s="56" t="n">
        <v>46117</v>
      </c>
      <c r="F14" s="58" t="n">
        <v>656.42</v>
      </c>
      <c r="G14" s="44" t="s">
        <v>476</v>
      </c>
      <c r="H14" s="45" t="s">
        <v>477</v>
      </c>
      <c r="I14" s="45" t="s">
        <v>460</v>
      </c>
      <c r="J14" s="64" t="n">
        <f aca="false">IF($B14="","",IFERROR(INDEX('Invoice &amp; Delivery Log'!$H$8:$H$157,MATCH($B14,'Invoice &amp; Delivery Log'!$A$8:$A$157,0)),""))</f>
        <v>46099</v>
      </c>
      <c r="K14" s="64" t="n">
        <f aca="false">IF($B14="","",IFERROR(INDEX('Invoice &amp; Delivery Log'!$M$8:$M$157,MATCH($B14,'Invoice &amp; Delivery Log'!$A$8:$A$157,0)),""))</f>
        <v>46114</v>
      </c>
      <c r="L14" s="47" t="n">
        <f aca="false">IF(OR($E14="",$J14=""),"",$E14-$J14)</f>
        <v>18</v>
      </c>
      <c r="M14" s="47" t="n">
        <f aca="false">IF(OR($E14="",$K14=""),"",$E14-$K14)</f>
        <v>3</v>
      </c>
      <c r="N14" s="36" t="str">
        <f aca="false">IF(OR($E14="",$K14=""),"n/a",IF($E14&lt;=$K14,"On Time","Late"))</f>
        <v>Late</v>
      </c>
      <c r="O14" s="30" t="n">
        <f aca="false">IF($B14="","",SUMIFS($F$8:$F14,$B$8:$B14,$B14))</f>
        <v>656.42</v>
      </c>
      <c r="P14" s="30" t="n">
        <f aca="false">IF($B14="","",IFERROR(ROUND(INDEX('Invoice &amp; Delivery Log'!$N$8:$N$157,MATCH($B14,'Invoice &amp; Delivery Log'!$A$8:$A$157,0))-$O14,2),""))</f>
        <v>1156.21</v>
      </c>
      <c r="Q14" s="36" t="str">
        <f aca="false">IF($A14="","",IF($R14="","OK","REVIEW"))</f>
        <v>OK</v>
      </c>
      <c r="R14" s="28" t="str">
        <f aca="false">IF($A14="","",TRIM(IF($B14="","Missing invoice ID. ","")&amp;IF(AND($B14&lt;&gt;"",COUNTIFS('Invoice &amp; Delivery Log'!$A$8:$A$157,$B14)=0),"Invoice ID not found in the invoice log. ","")&amp;IF(COUNTIFS('Payments Log'!$A$8:$A$207,$A14)&gt;1,"Duplicate payment ID. ","")&amp;IF(N($F14)&lt;=0,"Payment amount must be greater than zero. ","")&amp;IF($E14="","Missing payment date. ","")&amp;IF(AND($E14&lt;&gt;"",$J14&lt;&gt;"",$E14&lt;$J14),"Payment dated before the invoice date. ","")&amp;IF(AND($E14&lt;&gt;"",$E14&gt;Settings!$C$5),"Payment date is in the future. ","")&amp;IF(ROUND(N($P14),2)&lt;0,"Payment exceeds the invoice balance. ","")&amp;IF($G14="","Missing payment method. ","")))</f>
        <v/>
      </c>
    </row>
    <row r="15" customFormat="false" ht="15" hidden="false" customHeight="true" outlineLevel="0" collapsed="false">
      <c r="A15" s="44" t="s">
        <v>478</v>
      </c>
      <c r="B15" s="44" t="s">
        <v>266</v>
      </c>
      <c r="C15" s="65" t="str">
        <f aca="false">IF($B15="","",IFERROR(INDEX('Invoice &amp; Delivery Log'!$B$8:$B$157,MATCH($B15,'Invoice &amp; Delivery Log'!$A$8:$A$157,0)),""))</f>
        <v>VEN-011</v>
      </c>
      <c r="D15" s="59" t="str">
        <f aca="false">IF($B15="","",IFERROR(INDEX('Invoice &amp; Delivery Log'!$C$8:$C$157,MATCH($B15,'Invoice &amp; Delivery Log'!$A$8:$A$157,0)),"INVOICE NOT FOUND"))</f>
        <v>Redstone Safety Equipment</v>
      </c>
      <c r="E15" s="56" t="n">
        <v>46119</v>
      </c>
      <c r="F15" s="58" t="n">
        <v>2891.99</v>
      </c>
      <c r="G15" s="44" t="s">
        <v>476</v>
      </c>
      <c r="H15" s="45" t="s">
        <v>479</v>
      </c>
      <c r="I15" s="45" t="s">
        <v>469</v>
      </c>
      <c r="J15" s="66" t="n">
        <f aca="false">IF($B15="","",IFERROR(INDEX('Invoice &amp; Delivery Log'!$H$8:$H$157,MATCH($B15,'Invoice &amp; Delivery Log'!$A$8:$A$157,0)),""))</f>
        <v>46106</v>
      </c>
      <c r="K15" s="66" t="n">
        <f aca="false">IF($B15="","",IFERROR(INDEX('Invoice &amp; Delivery Log'!$M$8:$M$157,MATCH($B15,'Invoice &amp; Delivery Log'!$A$8:$A$157,0)),""))</f>
        <v>46136</v>
      </c>
      <c r="L15" s="52" t="n">
        <f aca="false">IF(OR($E15="",$J15=""),"",$E15-$J15)</f>
        <v>13</v>
      </c>
      <c r="M15" s="52" t="n">
        <f aca="false">IF(OR($E15="",$K15=""),"",$E15-$K15)</f>
        <v>-17</v>
      </c>
      <c r="N15" s="53" t="str">
        <f aca="false">IF(OR($E15="",$K15=""),"n/a",IF($E15&lt;=$K15,"On Time","Late"))</f>
        <v>On Time</v>
      </c>
      <c r="O15" s="50" t="n">
        <f aca="false">IF($B15="","",SUMIFS($F$8:$F15,$B$8:$B15,$B15))</f>
        <v>2891.99</v>
      </c>
      <c r="P15" s="50" t="n">
        <f aca="false">IF($B15="","",IFERROR(ROUND(INDEX('Invoice &amp; Delivery Log'!$N$8:$N$157,MATCH($B15,'Invoice &amp; Delivery Log'!$A$8:$A$157,0))-$O15,2),""))</f>
        <v>0</v>
      </c>
      <c r="Q15" s="53" t="str">
        <f aca="false">IF($A15="","",IF($R15="","OK","REVIEW"))</f>
        <v>OK</v>
      </c>
      <c r="R15" s="62" t="str">
        <f aca="false">IF($A15="","",TRIM(IF($B15="","Missing invoice ID. ","")&amp;IF(AND($B15&lt;&gt;"",COUNTIFS('Invoice &amp; Delivery Log'!$A$8:$A$157,$B15)=0),"Invoice ID not found in the invoice log. ","")&amp;IF(COUNTIFS('Payments Log'!$A$8:$A$207,$A15)&gt;1,"Duplicate payment ID. ","")&amp;IF(N($F15)&lt;=0,"Payment amount must be greater than zero. ","")&amp;IF($E15="","Missing payment date. ","")&amp;IF(AND($E15&lt;&gt;"",$J15&lt;&gt;"",$E15&lt;$J15),"Payment dated before the invoice date. ","")&amp;IF(AND($E15&lt;&gt;"",$E15&gt;Settings!$C$5),"Payment date is in the future. ","")&amp;IF(ROUND(N($P15),2)&lt;0,"Payment exceeds the invoice balance. ","")&amp;IF($G15="","Missing payment method. ","")))</f>
        <v/>
      </c>
    </row>
    <row r="16" customFormat="false" ht="15" hidden="false" customHeight="true" outlineLevel="0" collapsed="false">
      <c r="A16" s="44" t="s">
        <v>480</v>
      </c>
      <c r="B16" s="44" t="s">
        <v>282</v>
      </c>
      <c r="C16" s="63" t="str">
        <f aca="false">IF($B16="","",IFERROR(INDEX('Invoice &amp; Delivery Log'!$B$8:$B$157,MATCH($B16,'Invoice &amp; Delivery Log'!$A$8:$A$157,0)),""))</f>
        <v>VEN-009</v>
      </c>
      <c r="D16" s="55" t="str">
        <f aca="false">IF($B16="","",IFERROR(INDEX('Invoice &amp; Delivery Log'!$C$8:$C$157,MATCH($B16,'Invoice &amp; Delivery Log'!$A$8:$A$157,0)),"INVOICE NOT FOUND"))</f>
        <v>Vertex IT Solutions</v>
      </c>
      <c r="E16" s="56" t="n">
        <v>46120</v>
      </c>
      <c r="F16" s="58" t="n">
        <v>860.73</v>
      </c>
      <c r="G16" s="44" t="s">
        <v>458</v>
      </c>
      <c r="H16" s="45" t="s">
        <v>481</v>
      </c>
      <c r="I16" s="45" t="s">
        <v>460</v>
      </c>
      <c r="J16" s="64" t="n">
        <f aca="false">IF($B16="","",IFERROR(INDEX('Invoice &amp; Delivery Log'!$H$8:$H$157,MATCH($B16,'Invoice &amp; Delivery Log'!$A$8:$A$157,0)),""))</f>
        <v>46110</v>
      </c>
      <c r="K16" s="64" t="n">
        <f aca="false">IF($B16="","",IFERROR(INDEX('Invoice &amp; Delivery Log'!$M$8:$M$157,MATCH($B16,'Invoice &amp; Delivery Log'!$A$8:$A$157,0)),""))</f>
        <v>46140</v>
      </c>
      <c r="L16" s="47" t="n">
        <f aca="false">IF(OR($E16="",$J16=""),"",$E16-$J16)</f>
        <v>10</v>
      </c>
      <c r="M16" s="47" t="n">
        <f aca="false">IF(OR($E16="",$K16=""),"",$E16-$K16)</f>
        <v>-20</v>
      </c>
      <c r="N16" s="36" t="str">
        <f aca="false">IF(OR($E16="",$K16=""),"n/a",IF($E16&lt;=$K16,"On Time","Late"))</f>
        <v>On Time</v>
      </c>
      <c r="O16" s="30" t="n">
        <f aca="false">IF($B16="","",SUMIFS($F$8:$F16,$B$8:$B16,$B16))</f>
        <v>860.73</v>
      </c>
      <c r="P16" s="30" t="n">
        <f aca="false">IF($B16="","",IFERROR(ROUND(INDEX('Invoice &amp; Delivery Log'!$N$8:$N$157,MATCH($B16,'Invoice &amp; Delivery Log'!$A$8:$A$157,0))-$O16,2),""))</f>
        <v>1094.87</v>
      </c>
      <c r="Q16" s="36" t="str">
        <f aca="false">IF($A16="","",IF($R16="","OK","REVIEW"))</f>
        <v>OK</v>
      </c>
      <c r="R16" s="28" t="str">
        <f aca="false">IF($A16="","",TRIM(IF($B16="","Missing invoice ID. ","")&amp;IF(AND($B16&lt;&gt;"",COUNTIFS('Invoice &amp; Delivery Log'!$A$8:$A$157,$B16)=0),"Invoice ID not found in the invoice log. ","")&amp;IF(COUNTIFS('Payments Log'!$A$8:$A$207,$A16)&gt;1,"Duplicate payment ID. ","")&amp;IF(N($F16)&lt;=0,"Payment amount must be greater than zero. ","")&amp;IF($E16="","Missing payment date. ","")&amp;IF(AND($E16&lt;&gt;"",$J16&lt;&gt;"",$E16&lt;$J16),"Payment dated before the invoice date. ","")&amp;IF(AND($E16&lt;&gt;"",$E16&gt;Settings!$C$5),"Payment date is in the future. ","")&amp;IF(ROUND(N($P16),2)&lt;0,"Payment exceeds the invoice balance. ","")&amp;IF($G16="","Missing payment method. ","")))</f>
        <v/>
      </c>
    </row>
    <row r="17" customFormat="false" ht="15" hidden="false" customHeight="true" outlineLevel="0" collapsed="false">
      <c r="A17" s="44" t="s">
        <v>482</v>
      </c>
      <c r="B17" s="44" t="s">
        <v>294</v>
      </c>
      <c r="C17" s="65" t="str">
        <f aca="false">IF($B17="","",IFERROR(INDEX('Invoice &amp; Delivery Log'!$B$8:$B$157,MATCH($B17,'Invoice &amp; Delivery Log'!$A$8:$A$157,0)),""))</f>
        <v>VEN-003</v>
      </c>
      <c r="D17" s="59" t="str">
        <f aca="false">IF($B17="","",IFERROR(INDEX('Invoice &amp; Delivery Log'!$C$8:$C$157,MATCH($B17,'Invoice &amp; Delivery Log'!$A$8:$A$157,0)),"INVOICE NOT FOUND"))</f>
        <v>Ironbridge Hardware Co.</v>
      </c>
      <c r="E17" s="56" t="n">
        <v>46121</v>
      </c>
      <c r="F17" s="58" t="n">
        <v>3396.55</v>
      </c>
      <c r="G17" s="44" t="s">
        <v>483</v>
      </c>
      <c r="H17" s="45" t="s">
        <v>484</v>
      </c>
      <c r="I17" s="45" t="s">
        <v>469</v>
      </c>
      <c r="J17" s="66" t="n">
        <f aca="false">IF($B17="","",IFERROR(INDEX('Invoice &amp; Delivery Log'!$H$8:$H$157,MATCH($B17,'Invoice &amp; Delivery Log'!$A$8:$A$157,0)),""))</f>
        <v>46116</v>
      </c>
      <c r="K17" s="66" t="n">
        <f aca="false">IF($B17="","",IFERROR(INDEX('Invoice &amp; Delivery Log'!$M$8:$M$157,MATCH($B17,'Invoice &amp; Delivery Log'!$A$8:$A$157,0)),""))</f>
        <v>46161</v>
      </c>
      <c r="L17" s="52" t="n">
        <f aca="false">IF(OR($E17="",$J17=""),"",$E17-$J17)</f>
        <v>5</v>
      </c>
      <c r="M17" s="52" t="n">
        <f aca="false">IF(OR($E17="",$K17=""),"",$E17-$K17)</f>
        <v>-40</v>
      </c>
      <c r="N17" s="53" t="str">
        <f aca="false">IF(OR($E17="",$K17=""),"n/a",IF($E17&lt;=$K17,"On Time","Late"))</f>
        <v>On Time</v>
      </c>
      <c r="O17" s="50" t="n">
        <f aca="false">IF($B17="","",SUMIFS($F$8:$F17,$B$8:$B17,$B17))</f>
        <v>3396.55</v>
      </c>
      <c r="P17" s="50" t="n">
        <f aca="false">IF($B17="","",IFERROR(ROUND(INDEX('Invoice &amp; Delivery Log'!$N$8:$N$157,MATCH($B17,'Invoice &amp; Delivery Log'!$A$8:$A$157,0))-$O17,2),""))</f>
        <v>0</v>
      </c>
      <c r="Q17" s="53" t="str">
        <f aca="false">IF($A17="","",IF($R17="","OK","REVIEW"))</f>
        <v>OK</v>
      </c>
      <c r="R17" s="62" t="str">
        <f aca="false">IF($A17="","",TRIM(IF($B17="","Missing invoice ID. ","")&amp;IF(AND($B17&lt;&gt;"",COUNTIFS('Invoice &amp; Delivery Log'!$A$8:$A$157,$B17)=0),"Invoice ID not found in the invoice log. ","")&amp;IF(COUNTIFS('Payments Log'!$A$8:$A$207,$A17)&gt;1,"Duplicate payment ID. ","")&amp;IF(N($F17)&lt;=0,"Payment amount must be greater than zero. ","")&amp;IF($E17="","Missing payment date. ","")&amp;IF(AND($E17&lt;&gt;"",$J17&lt;&gt;"",$E17&lt;$J17),"Payment dated before the invoice date. ","")&amp;IF(AND($E17&lt;&gt;"",$E17&gt;Settings!$C$5),"Payment date is in the future. ","")&amp;IF(ROUND(N($P17),2)&lt;0,"Payment exceeds the invoice balance. ","")&amp;IF($G17="","Missing payment method. ","")))</f>
        <v/>
      </c>
    </row>
    <row r="18" customFormat="false" ht="15" hidden="false" customHeight="true" outlineLevel="0" collapsed="false">
      <c r="A18" s="44" t="s">
        <v>485</v>
      </c>
      <c r="B18" s="44" t="s">
        <v>258</v>
      </c>
      <c r="C18" s="63" t="str">
        <f aca="false">IF($B18="","",IFERROR(INDEX('Invoice &amp; Delivery Log'!$B$8:$B$157,MATCH($B18,'Invoice &amp; Delivery Log'!$A$8:$A$157,0)),""))</f>
        <v>VEN-012</v>
      </c>
      <c r="D18" s="55" t="str">
        <f aca="false">IF($B18="","",IFERROR(INDEX('Invoice &amp; Delivery Log'!$C$8:$C$157,MATCH($B18,'Invoice &amp; Delivery Log'!$A$8:$A$157,0)),"INVOICE NOT FOUND"))</f>
        <v>Willowbrook Beverage Co.</v>
      </c>
      <c r="E18" s="56" t="n">
        <v>46122</v>
      </c>
      <c r="F18" s="58" t="n">
        <v>1156.21</v>
      </c>
      <c r="G18" s="44" t="s">
        <v>462</v>
      </c>
      <c r="H18" s="45" t="s">
        <v>486</v>
      </c>
      <c r="I18" s="45" t="s">
        <v>466</v>
      </c>
      <c r="J18" s="64" t="n">
        <f aca="false">IF($B18="","",IFERROR(INDEX('Invoice &amp; Delivery Log'!$H$8:$H$157,MATCH($B18,'Invoice &amp; Delivery Log'!$A$8:$A$157,0)),""))</f>
        <v>46099</v>
      </c>
      <c r="K18" s="64" t="n">
        <f aca="false">IF($B18="","",IFERROR(INDEX('Invoice &amp; Delivery Log'!$M$8:$M$157,MATCH($B18,'Invoice &amp; Delivery Log'!$A$8:$A$157,0)),""))</f>
        <v>46114</v>
      </c>
      <c r="L18" s="47" t="n">
        <f aca="false">IF(OR($E18="",$J18=""),"",$E18-$J18)</f>
        <v>23</v>
      </c>
      <c r="M18" s="47" t="n">
        <f aca="false">IF(OR($E18="",$K18=""),"",$E18-$K18)</f>
        <v>8</v>
      </c>
      <c r="N18" s="36" t="str">
        <f aca="false">IF(OR($E18="",$K18=""),"n/a",IF($E18&lt;=$K18,"On Time","Late"))</f>
        <v>Late</v>
      </c>
      <c r="O18" s="30" t="n">
        <f aca="false">IF($B18="","",SUMIFS($F$8:$F18,$B$8:$B18,$B18))</f>
        <v>1812.63</v>
      </c>
      <c r="P18" s="30" t="n">
        <f aca="false">IF($B18="","",IFERROR(ROUND(INDEX('Invoice &amp; Delivery Log'!$N$8:$N$157,MATCH($B18,'Invoice &amp; Delivery Log'!$A$8:$A$157,0))-$O18,2),""))</f>
        <v>0</v>
      </c>
      <c r="Q18" s="36" t="str">
        <f aca="false">IF($A18="","",IF($R18="","OK","REVIEW"))</f>
        <v>OK</v>
      </c>
      <c r="R18" s="28" t="str">
        <f aca="false">IF($A18="","",TRIM(IF($B18="","Missing invoice ID. ","")&amp;IF(AND($B18&lt;&gt;"",COUNTIFS('Invoice &amp; Delivery Log'!$A$8:$A$157,$B18)=0),"Invoice ID not found in the invoice log. ","")&amp;IF(COUNTIFS('Payments Log'!$A$8:$A$207,$A18)&gt;1,"Duplicate payment ID. ","")&amp;IF(N($F18)&lt;=0,"Payment amount must be greater than zero. ","")&amp;IF($E18="","Missing payment date. ","")&amp;IF(AND($E18&lt;&gt;"",$J18&lt;&gt;"",$E18&lt;$J18),"Payment dated before the invoice date. ","")&amp;IF(AND($E18&lt;&gt;"",$E18&gt;Settings!$C$5),"Payment date is in the future. ","")&amp;IF(ROUND(N($P18),2)&lt;0,"Payment exceeds the invoice balance. ","")&amp;IF($G18="","Missing payment method. ","")))</f>
        <v/>
      </c>
    </row>
    <row r="19" customFormat="false" ht="15" hidden="false" customHeight="true" outlineLevel="0" collapsed="false">
      <c r="A19" s="44" t="s">
        <v>487</v>
      </c>
      <c r="B19" s="44" t="s">
        <v>286</v>
      </c>
      <c r="C19" s="65" t="str">
        <f aca="false">IF($B19="","",IFERROR(INDEX('Invoice &amp; Delivery Log'!$B$8:$B$157,MATCH($B19,'Invoice &amp; Delivery Log'!$A$8:$A$157,0)),""))</f>
        <v>VEN-003</v>
      </c>
      <c r="D19" s="59" t="str">
        <f aca="false">IF($B19="","",IFERROR(INDEX('Invoice &amp; Delivery Log'!$C$8:$C$157,MATCH($B19,'Invoice &amp; Delivery Log'!$A$8:$A$157,0)),"INVOICE NOT FOUND"))</f>
        <v>Ironbridge Hardware Co.</v>
      </c>
      <c r="E19" s="56" t="n">
        <v>46122</v>
      </c>
      <c r="F19" s="58" t="n">
        <v>2627.03</v>
      </c>
      <c r="G19" s="44" t="s">
        <v>458</v>
      </c>
      <c r="H19" s="45" t="s">
        <v>488</v>
      </c>
      <c r="I19" s="45" t="s">
        <v>469</v>
      </c>
      <c r="J19" s="66" t="n">
        <f aca="false">IF($B19="","",IFERROR(INDEX('Invoice &amp; Delivery Log'!$H$8:$H$157,MATCH($B19,'Invoice &amp; Delivery Log'!$A$8:$A$157,0)),""))</f>
        <v>46112</v>
      </c>
      <c r="K19" s="66" t="n">
        <f aca="false">IF($B19="","",IFERROR(INDEX('Invoice &amp; Delivery Log'!$M$8:$M$157,MATCH($B19,'Invoice &amp; Delivery Log'!$A$8:$A$157,0)),""))</f>
        <v>46157</v>
      </c>
      <c r="L19" s="52" t="n">
        <f aca="false">IF(OR($E19="",$J19=""),"",$E19-$J19)</f>
        <v>10</v>
      </c>
      <c r="M19" s="52" t="n">
        <f aca="false">IF(OR($E19="",$K19=""),"",$E19-$K19)</f>
        <v>-35</v>
      </c>
      <c r="N19" s="53" t="str">
        <f aca="false">IF(OR($E19="",$K19=""),"n/a",IF($E19&lt;=$K19,"On Time","Late"))</f>
        <v>On Time</v>
      </c>
      <c r="O19" s="50" t="n">
        <f aca="false">IF($B19="","",SUMIFS($F$8:$F19,$B$8:$B19,$B19))</f>
        <v>2627.03</v>
      </c>
      <c r="P19" s="50" t="n">
        <f aca="false">IF($B19="","",IFERROR(ROUND(INDEX('Invoice &amp; Delivery Log'!$N$8:$N$157,MATCH($B19,'Invoice &amp; Delivery Log'!$A$8:$A$157,0))-$O19,2),""))</f>
        <v>0</v>
      </c>
      <c r="Q19" s="53" t="str">
        <f aca="false">IF($A19="","",IF($R19="","OK","REVIEW"))</f>
        <v>OK</v>
      </c>
      <c r="R19" s="62" t="str">
        <f aca="false">IF($A19="","",TRIM(IF($B19="","Missing invoice ID. ","")&amp;IF(AND($B19&lt;&gt;"",COUNTIFS('Invoice &amp; Delivery Log'!$A$8:$A$157,$B19)=0),"Invoice ID not found in the invoice log. ","")&amp;IF(COUNTIFS('Payments Log'!$A$8:$A$207,$A19)&gt;1,"Duplicate payment ID. ","")&amp;IF(N($F19)&lt;=0,"Payment amount must be greater than zero. ","")&amp;IF($E19="","Missing payment date. ","")&amp;IF(AND($E19&lt;&gt;"",$J19&lt;&gt;"",$E19&lt;$J19),"Payment dated before the invoice date. ","")&amp;IF(AND($E19&lt;&gt;"",$E19&gt;Settings!$C$5),"Payment date is in the future. ","")&amp;IF(ROUND(N($P19),2)&lt;0,"Payment exceeds the invoice balance. ","")&amp;IF($G19="","Missing payment method. ","")))</f>
        <v/>
      </c>
    </row>
    <row r="20" customFormat="false" ht="15" hidden="false" customHeight="true" outlineLevel="0" collapsed="false">
      <c r="A20" s="44" t="s">
        <v>489</v>
      </c>
      <c r="B20" s="44" t="s">
        <v>278</v>
      </c>
      <c r="C20" s="63" t="str">
        <f aca="false">IF($B20="","",IFERROR(INDEX('Invoice &amp; Delivery Log'!$B$8:$B$157,MATCH($B20,'Invoice &amp; Delivery Log'!$A$8:$A$157,0)),""))</f>
        <v>VEN-005</v>
      </c>
      <c r="D20" s="55" t="str">
        <f aca="false">IF($B20="","",IFERROR(INDEX('Invoice &amp; Delivery Log'!$C$8:$C$157,MATCH($B20,'Invoice &amp; Delivery Log'!$A$8:$A$157,0)),"INVOICE NOT FOUND"))</f>
        <v>Summit Cleaning Services</v>
      </c>
      <c r="E20" s="56" t="n">
        <v>46128</v>
      </c>
      <c r="F20" s="58" t="n">
        <v>659.85</v>
      </c>
      <c r="G20" s="44" t="s">
        <v>462</v>
      </c>
      <c r="H20" s="45" t="s">
        <v>490</v>
      </c>
      <c r="I20" s="45" t="s">
        <v>460</v>
      </c>
      <c r="J20" s="64" t="n">
        <f aca="false">IF($B20="","",IFERROR(INDEX('Invoice &amp; Delivery Log'!$H$8:$H$157,MATCH($B20,'Invoice &amp; Delivery Log'!$A$8:$A$157,0)),""))</f>
        <v>46115</v>
      </c>
      <c r="K20" s="64" t="n">
        <f aca="false">IF($B20="","",IFERROR(INDEX('Invoice &amp; Delivery Log'!$M$8:$M$157,MATCH($B20,'Invoice &amp; Delivery Log'!$A$8:$A$157,0)),""))</f>
        <v>46129</v>
      </c>
      <c r="L20" s="47" t="n">
        <f aca="false">IF(OR($E20="",$J20=""),"",$E20-$J20)</f>
        <v>13</v>
      </c>
      <c r="M20" s="47" t="n">
        <f aca="false">IF(OR($E20="",$K20=""),"",$E20-$K20)</f>
        <v>-1</v>
      </c>
      <c r="N20" s="36" t="str">
        <f aca="false">IF(OR($E20="",$K20=""),"n/a",IF($E20&lt;=$K20,"On Time","Late"))</f>
        <v>On Time</v>
      </c>
      <c r="O20" s="30" t="n">
        <f aca="false">IF($B20="","",SUMIFS($F$8:$F20,$B$8:$B20,$B20))</f>
        <v>659.85</v>
      </c>
      <c r="P20" s="30" t="n">
        <f aca="false">IF($B20="","",IFERROR(ROUND(INDEX('Invoice &amp; Delivery Log'!$N$8:$N$157,MATCH($B20,'Invoice &amp; Delivery Log'!$A$8:$A$157,0))-$O20,2),""))</f>
        <v>1094.95</v>
      </c>
      <c r="Q20" s="36" t="str">
        <f aca="false">IF($A20="","",IF($R20="","OK","REVIEW"))</f>
        <v>OK</v>
      </c>
      <c r="R20" s="28" t="str">
        <f aca="false">IF($A20="","",TRIM(IF($B20="","Missing invoice ID. ","")&amp;IF(AND($B20&lt;&gt;"",COUNTIFS('Invoice &amp; Delivery Log'!$A$8:$A$157,$B20)=0),"Invoice ID not found in the invoice log. ","")&amp;IF(COUNTIFS('Payments Log'!$A$8:$A$207,$A20)&gt;1,"Duplicate payment ID. ","")&amp;IF(N($F20)&lt;=0,"Payment amount must be greater than zero. ","")&amp;IF($E20="","Missing payment date. ","")&amp;IF(AND($E20&lt;&gt;"",$J20&lt;&gt;"",$E20&lt;$J20),"Payment dated before the invoice date. ","")&amp;IF(AND($E20&lt;&gt;"",$E20&gt;Settings!$C$5),"Payment date is in the future. ","")&amp;IF(ROUND(N($P20),2)&lt;0,"Payment exceeds the invoice balance. ","")&amp;IF($G20="","Missing payment method. ","")))</f>
        <v/>
      </c>
    </row>
    <row r="21" customFormat="false" ht="15" hidden="false" customHeight="true" outlineLevel="0" collapsed="false">
      <c r="A21" s="44" t="s">
        <v>491</v>
      </c>
      <c r="B21" s="44" t="s">
        <v>262</v>
      </c>
      <c r="C21" s="65" t="str">
        <f aca="false">IF($B21="","",IFERROR(INDEX('Invoice &amp; Delivery Log'!$B$8:$B$157,MATCH($B21,'Invoice &amp; Delivery Log'!$A$8:$A$157,0)),""))</f>
        <v>VEN-001</v>
      </c>
      <c r="D21" s="59" t="str">
        <f aca="false">IF($B21="","",IFERROR(INDEX('Invoice &amp; Delivery Log'!$C$8:$C$157,MATCH($B21,'Invoice &amp; Delivery Log'!$A$8:$A$157,0)),"INVOICE NOT FOUND"))</f>
        <v>Northwind Paper Supply</v>
      </c>
      <c r="E21" s="56" t="n">
        <v>46131</v>
      </c>
      <c r="F21" s="58" t="n">
        <v>1767.46</v>
      </c>
      <c r="G21" s="44" t="s">
        <v>483</v>
      </c>
      <c r="H21" s="45" t="s">
        <v>492</v>
      </c>
      <c r="I21" s="45" t="s">
        <v>469</v>
      </c>
      <c r="J21" s="66" t="n">
        <f aca="false">IF($B21="","",IFERROR(INDEX('Invoice &amp; Delivery Log'!$H$8:$H$157,MATCH($B21,'Invoice &amp; Delivery Log'!$A$8:$A$157,0)),""))</f>
        <v>46101</v>
      </c>
      <c r="K21" s="66" t="n">
        <f aca="false">IF($B21="","",IFERROR(INDEX('Invoice &amp; Delivery Log'!$M$8:$M$157,MATCH($B21,'Invoice &amp; Delivery Log'!$A$8:$A$157,0)),""))</f>
        <v>46131</v>
      </c>
      <c r="L21" s="52" t="n">
        <f aca="false">IF(OR($E21="",$J21=""),"",$E21-$J21)</f>
        <v>30</v>
      </c>
      <c r="M21" s="52" t="n">
        <f aca="false">IF(OR($E21="",$K21=""),"",$E21-$K21)</f>
        <v>0</v>
      </c>
      <c r="N21" s="53" t="str">
        <f aca="false">IF(OR($E21="",$K21=""),"n/a",IF($E21&lt;=$K21,"On Time","Late"))</f>
        <v>On Time</v>
      </c>
      <c r="O21" s="50" t="n">
        <f aca="false">IF($B21="","",SUMIFS($F$8:$F21,$B$8:$B21,$B21))</f>
        <v>1767.46</v>
      </c>
      <c r="P21" s="50" t="n">
        <f aca="false">IF($B21="","",IFERROR(ROUND(INDEX('Invoice &amp; Delivery Log'!$N$8:$N$157,MATCH($B21,'Invoice &amp; Delivery Log'!$A$8:$A$157,0))-$O21,2),""))</f>
        <v>0</v>
      </c>
      <c r="Q21" s="53" t="str">
        <f aca="false">IF($A21="","",IF($R21="","OK","REVIEW"))</f>
        <v>OK</v>
      </c>
      <c r="R21" s="62" t="str">
        <f aca="false">IF($A21="","",TRIM(IF($B21="","Missing invoice ID. ","")&amp;IF(AND($B21&lt;&gt;"",COUNTIFS('Invoice &amp; Delivery Log'!$A$8:$A$157,$B21)=0),"Invoice ID not found in the invoice log. ","")&amp;IF(COUNTIFS('Payments Log'!$A$8:$A$207,$A21)&gt;1,"Duplicate payment ID. ","")&amp;IF(N($F21)&lt;=0,"Payment amount must be greater than zero. ","")&amp;IF($E21="","Missing payment date. ","")&amp;IF(AND($E21&lt;&gt;"",$J21&lt;&gt;"",$E21&lt;$J21),"Payment dated before the invoice date. ","")&amp;IF(AND($E21&lt;&gt;"",$E21&gt;Settings!$C$5),"Payment date is in the future. ","")&amp;IF(ROUND(N($P21),2)&lt;0,"Payment exceeds the invoice balance. ","")&amp;IF($G21="","Missing payment method. ","")))</f>
        <v/>
      </c>
    </row>
    <row r="22" customFormat="false" ht="15" hidden="false" customHeight="true" outlineLevel="0" collapsed="false">
      <c r="A22" s="44" t="s">
        <v>493</v>
      </c>
      <c r="B22" s="44" t="s">
        <v>275</v>
      </c>
      <c r="C22" s="63" t="str">
        <f aca="false">IF($B22="","",IFERROR(INDEX('Invoice &amp; Delivery Log'!$B$8:$B$157,MATCH($B22,'Invoice &amp; Delivery Log'!$A$8:$A$157,0)),""))</f>
        <v>VEN-006</v>
      </c>
      <c r="D22" s="55" t="str">
        <f aca="false">IF($B22="","",IFERROR(INDEX('Invoice &amp; Delivery Log'!$C$8:$C$157,MATCH($B22,'Invoice &amp; Delivery Log'!$A$8:$A$157,0)),"INVOICE NOT FOUND"))</f>
        <v>Harborline Logistics</v>
      </c>
      <c r="E22" s="56" t="n">
        <v>46132</v>
      </c>
      <c r="F22" s="58" t="n">
        <v>1227.2</v>
      </c>
      <c r="G22" s="44" t="s">
        <v>462</v>
      </c>
      <c r="H22" s="45" t="s">
        <v>494</v>
      </c>
      <c r="I22" s="45" t="s">
        <v>460</v>
      </c>
      <c r="J22" s="64" t="n">
        <f aca="false">IF($B22="","",IFERROR(INDEX('Invoice &amp; Delivery Log'!$H$8:$H$157,MATCH($B22,'Invoice &amp; Delivery Log'!$A$8:$A$157,0)),""))</f>
        <v>46106</v>
      </c>
      <c r="K22" s="64" t="n">
        <f aca="false">IF($B22="","",IFERROR(INDEX('Invoice &amp; Delivery Log'!$M$8:$M$157,MATCH($B22,'Invoice &amp; Delivery Log'!$A$8:$A$157,0)),""))</f>
        <v>46136</v>
      </c>
      <c r="L22" s="47" t="n">
        <f aca="false">IF(OR($E22="",$J22=""),"",$E22-$J22)</f>
        <v>26</v>
      </c>
      <c r="M22" s="47" t="n">
        <f aca="false">IF(OR($E22="",$K22=""),"",$E22-$K22)</f>
        <v>-4</v>
      </c>
      <c r="N22" s="36" t="str">
        <f aca="false">IF(OR($E22="",$K22=""),"n/a",IF($E22&lt;=$K22,"On Time","Late"))</f>
        <v>On Time</v>
      </c>
      <c r="O22" s="30" t="n">
        <f aca="false">IF($B22="","",SUMIFS($F$8:$F22,$B$8:$B22,$B22))</f>
        <v>1227.2</v>
      </c>
      <c r="P22" s="30" t="n">
        <f aca="false">IF($B22="","",IFERROR(ROUND(INDEX('Invoice &amp; Delivery Log'!$N$8:$N$157,MATCH($B22,'Invoice &amp; Delivery Log'!$A$8:$A$157,0))-$O22,2),""))</f>
        <v>2085.01</v>
      </c>
      <c r="Q22" s="36" t="str">
        <f aca="false">IF($A22="","",IF($R22="","OK","REVIEW"))</f>
        <v>OK</v>
      </c>
      <c r="R22" s="28" t="str">
        <f aca="false">IF($A22="","",TRIM(IF($B22="","Missing invoice ID. ","")&amp;IF(AND($B22&lt;&gt;"",COUNTIFS('Invoice &amp; Delivery Log'!$A$8:$A$157,$B22)=0),"Invoice ID not found in the invoice log. ","")&amp;IF(COUNTIFS('Payments Log'!$A$8:$A$207,$A22)&gt;1,"Duplicate payment ID. ","")&amp;IF(N($F22)&lt;=0,"Payment amount must be greater than zero. ","")&amp;IF($E22="","Missing payment date. ","")&amp;IF(AND($E22&lt;&gt;"",$J22&lt;&gt;"",$E22&lt;$J22),"Payment dated before the invoice date. ","")&amp;IF(AND($E22&lt;&gt;"",$E22&gt;Settings!$C$5),"Payment date is in the future. ","")&amp;IF(ROUND(N($P22),2)&lt;0,"Payment exceeds the invoice balance. ","")&amp;IF($G22="","Missing payment method. ","")))</f>
        <v/>
      </c>
    </row>
    <row r="23" customFormat="false" ht="15" hidden="false" customHeight="true" outlineLevel="0" collapsed="false">
      <c r="A23" s="44" t="s">
        <v>495</v>
      </c>
      <c r="B23" s="44" t="s">
        <v>301</v>
      </c>
      <c r="C23" s="65" t="str">
        <f aca="false">IF($B23="","",IFERROR(INDEX('Invoice &amp; Delivery Log'!$B$8:$B$157,MATCH($B23,'Invoice &amp; Delivery Log'!$A$8:$A$157,0)),""))</f>
        <v>VEN-002</v>
      </c>
      <c r="D23" s="59" t="str">
        <f aca="false">IF($B23="","",IFERROR(INDEX('Invoice &amp; Delivery Log'!$C$8:$C$157,MATCH($B23,'Invoice &amp; Delivery Log'!$A$8:$A$157,0)),"INVOICE NOT FOUND"))</f>
        <v>Cascade Foods Distribution</v>
      </c>
      <c r="E23" s="56" t="n">
        <v>46135</v>
      </c>
      <c r="F23" s="58" t="n">
        <v>1852.04</v>
      </c>
      <c r="G23" s="44" t="s">
        <v>476</v>
      </c>
      <c r="H23" s="45" t="s">
        <v>496</v>
      </c>
      <c r="I23" s="45" t="s">
        <v>469</v>
      </c>
      <c r="J23" s="66" t="n">
        <f aca="false">IF($B23="","",IFERROR(INDEX('Invoice &amp; Delivery Log'!$H$8:$H$157,MATCH($B23,'Invoice &amp; Delivery Log'!$A$8:$A$157,0)),""))</f>
        <v>46120</v>
      </c>
      <c r="K23" s="66" t="n">
        <f aca="false">IF($B23="","",IFERROR(INDEX('Invoice &amp; Delivery Log'!$M$8:$M$157,MATCH($B23,'Invoice &amp; Delivery Log'!$A$8:$A$157,0)),""))</f>
        <v>46135</v>
      </c>
      <c r="L23" s="52" t="n">
        <f aca="false">IF(OR($E23="",$J23=""),"",$E23-$J23)</f>
        <v>15</v>
      </c>
      <c r="M23" s="52" t="n">
        <f aca="false">IF(OR($E23="",$K23=""),"",$E23-$K23)</f>
        <v>0</v>
      </c>
      <c r="N23" s="53" t="str">
        <f aca="false">IF(OR($E23="",$K23=""),"n/a",IF($E23&lt;=$K23,"On Time","Late"))</f>
        <v>On Time</v>
      </c>
      <c r="O23" s="50" t="n">
        <f aca="false">IF($B23="","",SUMIFS($F$8:$F23,$B$8:$B23,$B23))</f>
        <v>1852.04</v>
      </c>
      <c r="P23" s="50" t="n">
        <f aca="false">IF($B23="","",IFERROR(ROUND(INDEX('Invoice &amp; Delivery Log'!$N$8:$N$157,MATCH($B23,'Invoice &amp; Delivery Log'!$A$8:$A$157,0))-$O23,2),""))</f>
        <v>0</v>
      </c>
      <c r="Q23" s="53" t="str">
        <f aca="false">IF($A23="","",IF($R23="","OK","REVIEW"))</f>
        <v>OK</v>
      </c>
      <c r="R23" s="62" t="str">
        <f aca="false">IF($A23="","",TRIM(IF($B23="","Missing invoice ID. ","")&amp;IF(AND($B23&lt;&gt;"",COUNTIFS('Invoice &amp; Delivery Log'!$A$8:$A$157,$B23)=0),"Invoice ID not found in the invoice log. ","")&amp;IF(COUNTIFS('Payments Log'!$A$8:$A$207,$A23)&gt;1,"Duplicate payment ID. ","")&amp;IF(N($F23)&lt;=0,"Payment amount must be greater than zero. ","")&amp;IF($E23="","Missing payment date. ","")&amp;IF(AND($E23&lt;&gt;"",$J23&lt;&gt;"",$E23&lt;$J23),"Payment dated before the invoice date. ","")&amp;IF(AND($E23&lt;&gt;"",$E23&gt;Settings!$C$5),"Payment date is in the future. ","")&amp;IF(ROUND(N($P23),2)&lt;0,"Payment exceeds the invoice balance. ","")&amp;IF($G23="","Missing payment method. ","")))</f>
        <v/>
      </c>
    </row>
    <row r="24" customFormat="false" ht="15" hidden="false" customHeight="true" outlineLevel="0" collapsed="false">
      <c r="A24" s="44" t="s">
        <v>497</v>
      </c>
      <c r="B24" s="44" t="s">
        <v>297</v>
      </c>
      <c r="C24" s="63" t="str">
        <f aca="false">IF($B24="","",IFERROR(INDEX('Invoice &amp; Delivery Log'!$B$8:$B$157,MATCH($B24,'Invoice &amp; Delivery Log'!$A$8:$A$157,0)),""))</f>
        <v>VEN-009</v>
      </c>
      <c r="D24" s="55" t="str">
        <f aca="false">IF($B24="","",IFERROR(INDEX('Invoice &amp; Delivery Log'!$C$8:$C$157,MATCH($B24,'Invoice &amp; Delivery Log'!$A$8:$A$157,0)),"INVOICE NOT FOUND"))</f>
        <v>Vertex IT Solutions</v>
      </c>
      <c r="E24" s="56" t="n">
        <v>46136</v>
      </c>
      <c r="F24" s="58" t="n">
        <v>9228.89</v>
      </c>
      <c r="G24" s="44" t="s">
        <v>473</v>
      </c>
      <c r="H24" s="45" t="s">
        <v>498</v>
      </c>
      <c r="I24" s="45" t="s">
        <v>469</v>
      </c>
      <c r="J24" s="64" t="n">
        <f aca="false">IF($B24="","",IFERROR(INDEX('Invoice &amp; Delivery Log'!$H$8:$H$157,MATCH($B24,'Invoice &amp; Delivery Log'!$A$8:$A$157,0)),""))</f>
        <v>46116</v>
      </c>
      <c r="K24" s="64" t="n">
        <f aca="false">IF($B24="","",IFERROR(INDEX('Invoice &amp; Delivery Log'!$M$8:$M$157,MATCH($B24,'Invoice &amp; Delivery Log'!$A$8:$A$157,0)),""))</f>
        <v>46146</v>
      </c>
      <c r="L24" s="47" t="n">
        <f aca="false">IF(OR($E24="",$J24=""),"",$E24-$J24)</f>
        <v>20</v>
      </c>
      <c r="M24" s="47" t="n">
        <f aca="false">IF(OR($E24="",$K24=""),"",$E24-$K24)</f>
        <v>-10</v>
      </c>
      <c r="N24" s="36" t="str">
        <f aca="false">IF(OR($E24="",$K24=""),"n/a",IF($E24&lt;=$K24,"On Time","Late"))</f>
        <v>On Time</v>
      </c>
      <c r="O24" s="30" t="n">
        <f aca="false">IF($B24="","",SUMIFS($F$8:$F24,$B$8:$B24,$B24))</f>
        <v>9228.89</v>
      </c>
      <c r="P24" s="30" t="n">
        <f aca="false">IF($B24="","",IFERROR(ROUND(INDEX('Invoice &amp; Delivery Log'!$N$8:$N$157,MATCH($B24,'Invoice &amp; Delivery Log'!$A$8:$A$157,0))-$O24,2),""))</f>
        <v>0</v>
      </c>
      <c r="Q24" s="36" t="str">
        <f aca="false">IF($A24="","",IF($R24="","OK","REVIEW"))</f>
        <v>OK</v>
      </c>
      <c r="R24" s="28" t="str">
        <f aca="false">IF($A24="","",TRIM(IF($B24="","Missing invoice ID. ","")&amp;IF(AND($B24&lt;&gt;"",COUNTIFS('Invoice &amp; Delivery Log'!$A$8:$A$157,$B24)=0),"Invoice ID not found in the invoice log. ","")&amp;IF(COUNTIFS('Payments Log'!$A$8:$A$207,$A24)&gt;1,"Duplicate payment ID. ","")&amp;IF(N($F24)&lt;=0,"Payment amount must be greater than zero. ","")&amp;IF($E24="","Missing payment date. ","")&amp;IF(AND($E24&lt;&gt;"",$J24&lt;&gt;"",$E24&lt;$J24),"Payment dated before the invoice date. ","")&amp;IF(AND($E24&lt;&gt;"",$E24&gt;Settings!$C$5),"Payment date is in the future. ","")&amp;IF(ROUND(N($P24),2)&lt;0,"Payment exceeds the invoice balance. ","")&amp;IF($G24="","Missing payment method. ","")))</f>
        <v/>
      </c>
    </row>
    <row r="25" customFormat="false" ht="15" hidden="false" customHeight="true" outlineLevel="0" collapsed="false">
      <c r="A25" s="44" t="s">
        <v>499</v>
      </c>
      <c r="B25" s="44" t="s">
        <v>282</v>
      </c>
      <c r="C25" s="65" t="str">
        <f aca="false">IF($B25="","",IFERROR(INDEX('Invoice &amp; Delivery Log'!$B$8:$B$157,MATCH($B25,'Invoice &amp; Delivery Log'!$A$8:$A$157,0)),""))</f>
        <v>VEN-009</v>
      </c>
      <c r="D25" s="59" t="str">
        <f aca="false">IF($B25="","",IFERROR(INDEX('Invoice &amp; Delivery Log'!$C$8:$C$157,MATCH($B25,'Invoice &amp; Delivery Log'!$A$8:$A$157,0)),"INVOICE NOT FOUND"))</f>
        <v>Vertex IT Solutions</v>
      </c>
      <c r="E25" s="56" t="n">
        <v>46138</v>
      </c>
      <c r="F25" s="58" t="n">
        <v>1094.87</v>
      </c>
      <c r="G25" s="44" t="s">
        <v>473</v>
      </c>
      <c r="H25" s="45" t="s">
        <v>500</v>
      </c>
      <c r="I25" s="45" t="s">
        <v>466</v>
      </c>
      <c r="J25" s="66" t="n">
        <f aca="false">IF($B25="","",IFERROR(INDEX('Invoice &amp; Delivery Log'!$H$8:$H$157,MATCH($B25,'Invoice &amp; Delivery Log'!$A$8:$A$157,0)),""))</f>
        <v>46110</v>
      </c>
      <c r="K25" s="66" t="n">
        <f aca="false">IF($B25="","",IFERROR(INDEX('Invoice &amp; Delivery Log'!$M$8:$M$157,MATCH($B25,'Invoice &amp; Delivery Log'!$A$8:$A$157,0)),""))</f>
        <v>46140</v>
      </c>
      <c r="L25" s="52" t="n">
        <f aca="false">IF(OR($E25="",$J25=""),"",$E25-$J25)</f>
        <v>28</v>
      </c>
      <c r="M25" s="52" t="n">
        <f aca="false">IF(OR($E25="",$K25=""),"",$E25-$K25)</f>
        <v>-2</v>
      </c>
      <c r="N25" s="53" t="str">
        <f aca="false">IF(OR($E25="",$K25=""),"n/a",IF($E25&lt;=$K25,"On Time","Late"))</f>
        <v>On Time</v>
      </c>
      <c r="O25" s="50" t="n">
        <f aca="false">IF($B25="","",SUMIFS($F$8:$F25,$B$8:$B25,$B25))</f>
        <v>1955.6</v>
      </c>
      <c r="P25" s="50" t="n">
        <f aca="false">IF($B25="","",IFERROR(ROUND(INDEX('Invoice &amp; Delivery Log'!$N$8:$N$157,MATCH($B25,'Invoice &amp; Delivery Log'!$A$8:$A$157,0))-$O25,2),""))</f>
        <v>0</v>
      </c>
      <c r="Q25" s="53" t="str">
        <f aca="false">IF($A25="","",IF($R25="","OK","REVIEW"))</f>
        <v>OK</v>
      </c>
      <c r="R25" s="62" t="str">
        <f aca="false">IF($A25="","",TRIM(IF($B25="","Missing invoice ID. ","")&amp;IF(AND($B25&lt;&gt;"",COUNTIFS('Invoice &amp; Delivery Log'!$A$8:$A$157,$B25)=0),"Invoice ID not found in the invoice log. ","")&amp;IF(COUNTIFS('Payments Log'!$A$8:$A$207,$A25)&gt;1,"Duplicate payment ID. ","")&amp;IF(N($F25)&lt;=0,"Payment amount must be greater than zero. ","")&amp;IF($E25="","Missing payment date. ","")&amp;IF(AND($E25&lt;&gt;"",$J25&lt;&gt;"",$E25&lt;$J25),"Payment dated before the invoice date. ","")&amp;IF(AND($E25&lt;&gt;"",$E25&gt;Settings!$C$5),"Payment date is in the future. ","")&amp;IF(ROUND(N($P25),2)&lt;0,"Payment exceeds the invoice balance. ","")&amp;IF($G25="","Missing payment method. ","")))</f>
        <v/>
      </c>
    </row>
    <row r="26" customFormat="false" ht="15" hidden="false" customHeight="true" outlineLevel="0" collapsed="false">
      <c r="A26" s="44" t="s">
        <v>501</v>
      </c>
      <c r="B26" s="44" t="s">
        <v>306</v>
      </c>
      <c r="C26" s="63" t="str">
        <f aca="false">IF($B26="","",IFERROR(INDEX('Invoice &amp; Delivery Log'!$B$8:$B$157,MATCH($B26,'Invoice &amp; Delivery Log'!$A$8:$A$157,0)),""))</f>
        <v>VEN-004</v>
      </c>
      <c r="D26" s="55" t="str">
        <f aca="false">IF($B26="","",IFERROR(INDEX('Invoice &amp; Delivery Log'!$C$8:$C$157,MATCH($B26,'Invoice &amp; Delivery Log'!$A$8:$A$157,0)),"INVOICE NOT FOUND"))</f>
        <v>Lakeshore Packaging Group</v>
      </c>
      <c r="E26" s="56" t="n">
        <v>46138</v>
      </c>
      <c r="F26" s="58" t="n">
        <v>4971.12</v>
      </c>
      <c r="G26" s="44" t="s">
        <v>458</v>
      </c>
      <c r="H26" s="45" t="s">
        <v>502</v>
      </c>
      <c r="I26" s="45" t="s">
        <v>469</v>
      </c>
      <c r="J26" s="64" t="n">
        <f aca="false">IF($B26="","",IFERROR(INDEX('Invoice &amp; Delivery Log'!$H$8:$H$157,MATCH($B26,'Invoice &amp; Delivery Log'!$A$8:$A$157,0)),""))</f>
        <v>46125</v>
      </c>
      <c r="K26" s="64" t="n">
        <f aca="false">IF($B26="","",IFERROR(INDEX('Invoice &amp; Delivery Log'!$M$8:$M$157,MATCH($B26,'Invoice &amp; Delivery Log'!$A$8:$A$157,0)),""))</f>
        <v>46155</v>
      </c>
      <c r="L26" s="47" t="n">
        <f aca="false">IF(OR($E26="",$J26=""),"",$E26-$J26)</f>
        <v>13</v>
      </c>
      <c r="M26" s="47" t="n">
        <f aca="false">IF(OR($E26="",$K26=""),"",$E26-$K26)</f>
        <v>-17</v>
      </c>
      <c r="N26" s="36" t="str">
        <f aca="false">IF(OR($E26="",$K26=""),"n/a",IF($E26&lt;=$K26,"On Time","Late"))</f>
        <v>On Time</v>
      </c>
      <c r="O26" s="30" t="n">
        <f aca="false">IF($B26="","",SUMIFS($F$8:$F26,$B$8:$B26,$B26))</f>
        <v>4971.12</v>
      </c>
      <c r="P26" s="30" t="n">
        <f aca="false">IF($B26="","",IFERROR(ROUND(INDEX('Invoice &amp; Delivery Log'!$N$8:$N$157,MATCH($B26,'Invoice &amp; Delivery Log'!$A$8:$A$157,0))-$O26,2),""))</f>
        <v>0</v>
      </c>
      <c r="Q26" s="36" t="str">
        <f aca="false">IF($A26="","",IF($R26="","OK","REVIEW"))</f>
        <v>OK</v>
      </c>
      <c r="R26" s="28" t="str">
        <f aca="false">IF($A26="","",TRIM(IF($B26="","Missing invoice ID. ","")&amp;IF(AND($B26&lt;&gt;"",COUNTIFS('Invoice &amp; Delivery Log'!$A$8:$A$157,$B26)=0),"Invoice ID not found in the invoice log. ","")&amp;IF(COUNTIFS('Payments Log'!$A$8:$A$207,$A26)&gt;1,"Duplicate payment ID. ","")&amp;IF(N($F26)&lt;=0,"Payment amount must be greater than zero. ","")&amp;IF($E26="","Missing payment date. ","")&amp;IF(AND($E26&lt;&gt;"",$J26&lt;&gt;"",$E26&lt;$J26),"Payment dated before the invoice date. ","")&amp;IF(AND($E26&lt;&gt;"",$E26&gt;Settings!$C$5),"Payment date is in the future. ","")&amp;IF(ROUND(N($P26),2)&lt;0,"Payment exceeds the invoice balance. ","")&amp;IF($G26="","Missing payment method. ","")))</f>
        <v/>
      </c>
    </row>
    <row r="27" customFormat="false" ht="15" hidden="false" customHeight="true" outlineLevel="0" collapsed="false">
      <c r="A27" s="44" t="s">
        <v>503</v>
      </c>
      <c r="B27" s="44" t="s">
        <v>233</v>
      </c>
      <c r="C27" s="65" t="str">
        <f aca="false">IF($B27="","",IFERROR(INDEX('Invoice &amp; Delivery Log'!$B$8:$B$157,MATCH($B27,'Invoice &amp; Delivery Log'!$A$8:$A$157,0)),""))</f>
        <v>VEN-010</v>
      </c>
      <c r="D27" s="59" t="str">
        <f aca="false">IF($B27="","",IFERROR(INDEX('Invoice &amp; Delivery Log'!$C$8:$C$157,MATCH($B27,'Invoice &amp; Delivery Log'!$A$8:$A$157,0)),"INVOICE NOT FOUND"))</f>
        <v>Copperfield Textiles</v>
      </c>
      <c r="E27" s="56" t="n">
        <v>46139</v>
      </c>
      <c r="F27" s="58" t="n">
        <v>2081.06</v>
      </c>
      <c r="G27" s="44" t="s">
        <v>473</v>
      </c>
      <c r="H27" s="45" t="s">
        <v>504</v>
      </c>
      <c r="I27" s="45" t="s">
        <v>460</v>
      </c>
      <c r="J27" s="66" t="n">
        <f aca="false">IF($B27="","",IFERROR(INDEX('Invoice &amp; Delivery Log'!$H$8:$H$157,MATCH($B27,'Invoice &amp; Delivery Log'!$A$8:$A$157,0)),""))</f>
        <v>46084</v>
      </c>
      <c r="K27" s="66" t="n">
        <f aca="false">IF($B27="","",IFERROR(INDEX('Invoice &amp; Delivery Log'!$M$8:$M$157,MATCH($B27,'Invoice &amp; Delivery Log'!$A$8:$A$157,0)),""))</f>
        <v>46144</v>
      </c>
      <c r="L27" s="52" t="n">
        <f aca="false">IF(OR($E27="",$J27=""),"",$E27-$J27)</f>
        <v>55</v>
      </c>
      <c r="M27" s="52" t="n">
        <f aca="false">IF(OR($E27="",$K27=""),"",$E27-$K27)</f>
        <v>-5</v>
      </c>
      <c r="N27" s="53" t="str">
        <f aca="false">IF(OR($E27="",$K27=""),"n/a",IF($E27&lt;=$K27,"On Time","Late"))</f>
        <v>On Time</v>
      </c>
      <c r="O27" s="50" t="n">
        <f aca="false">IF($B27="","",SUMIFS($F$8:$F27,$B$8:$B27,$B27))</f>
        <v>2081.06</v>
      </c>
      <c r="P27" s="50" t="n">
        <f aca="false">IF($B27="","",IFERROR(ROUND(INDEX('Invoice &amp; Delivery Log'!$N$8:$N$157,MATCH($B27,'Invoice &amp; Delivery Log'!$A$8:$A$157,0))-$O27,2),""))</f>
        <v>2188.86</v>
      </c>
      <c r="Q27" s="53" t="str">
        <f aca="false">IF($A27="","",IF($R27="","OK","REVIEW"))</f>
        <v>OK</v>
      </c>
      <c r="R27" s="62" t="str">
        <f aca="false">IF($A27="","",TRIM(IF($B27="","Missing invoice ID. ","")&amp;IF(AND($B27&lt;&gt;"",COUNTIFS('Invoice &amp; Delivery Log'!$A$8:$A$157,$B27)=0),"Invoice ID not found in the invoice log. ","")&amp;IF(COUNTIFS('Payments Log'!$A$8:$A$207,$A27)&gt;1,"Duplicate payment ID. ","")&amp;IF(N($F27)&lt;=0,"Payment amount must be greater than zero. ","")&amp;IF($E27="","Missing payment date. ","")&amp;IF(AND($E27&lt;&gt;"",$J27&lt;&gt;"",$E27&lt;$J27),"Payment dated before the invoice date. ","")&amp;IF(AND($E27&lt;&gt;"",$E27&gt;Settings!$C$5),"Payment date is in the future. ","")&amp;IF(ROUND(N($P27),2)&lt;0,"Payment exceeds the invoice balance. ","")&amp;IF($G27="","Missing payment method. ","")))</f>
        <v/>
      </c>
    </row>
    <row r="28" customFormat="false" ht="15" hidden="false" customHeight="true" outlineLevel="0" collapsed="false">
      <c r="A28" s="44" t="s">
        <v>505</v>
      </c>
      <c r="B28" s="44" t="s">
        <v>278</v>
      </c>
      <c r="C28" s="63" t="str">
        <f aca="false">IF($B28="","",IFERROR(INDEX('Invoice &amp; Delivery Log'!$B$8:$B$157,MATCH($B28,'Invoice &amp; Delivery Log'!$A$8:$A$157,0)),""))</f>
        <v>VEN-005</v>
      </c>
      <c r="D28" s="55" t="str">
        <f aca="false">IF($B28="","",IFERROR(INDEX('Invoice &amp; Delivery Log'!$C$8:$C$157,MATCH($B28,'Invoice &amp; Delivery Log'!$A$8:$A$157,0)),"INVOICE NOT FOUND"))</f>
        <v>Summit Cleaning Services</v>
      </c>
      <c r="E28" s="56" t="n">
        <v>46140</v>
      </c>
      <c r="F28" s="58" t="n">
        <v>1094.95</v>
      </c>
      <c r="G28" s="44" t="s">
        <v>458</v>
      </c>
      <c r="H28" s="45" t="s">
        <v>506</v>
      </c>
      <c r="I28" s="45" t="s">
        <v>466</v>
      </c>
      <c r="J28" s="64" t="n">
        <f aca="false">IF($B28="","",IFERROR(INDEX('Invoice &amp; Delivery Log'!$H$8:$H$157,MATCH($B28,'Invoice &amp; Delivery Log'!$A$8:$A$157,0)),""))</f>
        <v>46115</v>
      </c>
      <c r="K28" s="64" t="n">
        <f aca="false">IF($B28="","",IFERROR(INDEX('Invoice &amp; Delivery Log'!$M$8:$M$157,MATCH($B28,'Invoice &amp; Delivery Log'!$A$8:$A$157,0)),""))</f>
        <v>46129</v>
      </c>
      <c r="L28" s="47" t="n">
        <f aca="false">IF(OR($E28="",$J28=""),"",$E28-$J28)</f>
        <v>25</v>
      </c>
      <c r="M28" s="47" t="n">
        <f aca="false">IF(OR($E28="",$K28=""),"",$E28-$K28)</f>
        <v>11</v>
      </c>
      <c r="N28" s="36" t="str">
        <f aca="false">IF(OR($E28="",$K28=""),"n/a",IF($E28&lt;=$K28,"On Time","Late"))</f>
        <v>Late</v>
      </c>
      <c r="O28" s="30" t="n">
        <f aca="false">IF($B28="","",SUMIFS($F$8:$F28,$B$8:$B28,$B28))</f>
        <v>1754.8</v>
      </c>
      <c r="P28" s="30" t="n">
        <f aca="false">IF($B28="","",IFERROR(ROUND(INDEX('Invoice &amp; Delivery Log'!$N$8:$N$157,MATCH($B28,'Invoice &amp; Delivery Log'!$A$8:$A$157,0))-$O28,2),""))</f>
        <v>0</v>
      </c>
      <c r="Q28" s="36" t="str">
        <f aca="false">IF($A28="","",IF($R28="","OK","REVIEW"))</f>
        <v>OK</v>
      </c>
      <c r="R28" s="28" t="str">
        <f aca="false">IF($A28="","",TRIM(IF($B28="","Missing invoice ID. ","")&amp;IF(AND($B28&lt;&gt;"",COUNTIFS('Invoice &amp; Delivery Log'!$A$8:$A$157,$B28)=0),"Invoice ID not found in the invoice log. ","")&amp;IF(COUNTIFS('Payments Log'!$A$8:$A$207,$A28)&gt;1,"Duplicate payment ID. ","")&amp;IF(N($F28)&lt;=0,"Payment amount must be greater than zero. ","")&amp;IF($E28="","Missing payment date. ","")&amp;IF(AND($E28&lt;&gt;"",$J28&lt;&gt;"",$E28&lt;$J28),"Payment dated before the invoice date. ","")&amp;IF(AND($E28&lt;&gt;"",$E28&gt;Settings!$C$5),"Payment date is in the future. ","")&amp;IF(ROUND(N($P28),2)&lt;0,"Payment exceeds the invoice balance. ","")&amp;IF($G28="","Missing payment method. ","")))</f>
        <v/>
      </c>
    </row>
    <row r="29" customFormat="false" ht="15" hidden="false" customHeight="true" outlineLevel="0" collapsed="false">
      <c r="A29" s="44" t="s">
        <v>507</v>
      </c>
      <c r="B29" s="44" t="s">
        <v>233</v>
      </c>
      <c r="C29" s="65" t="str">
        <f aca="false">IF($B29="","",IFERROR(INDEX('Invoice &amp; Delivery Log'!$B$8:$B$157,MATCH($B29,'Invoice &amp; Delivery Log'!$A$8:$A$157,0)),""))</f>
        <v>VEN-010</v>
      </c>
      <c r="D29" s="59" t="str">
        <f aca="false">IF($B29="","",IFERROR(INDEX('Invoice &amp; Delivery Log'!$C$8:$C$157,MATCH($B29,'Invoice &amp; Delivery Log'!$A$8:$A$157,0)),"INVOICE NOT FOUND"))</f>
        <v>Copperfield Textiles</v>
      </c>
      <c r="E29" s="56" t="n">
        <v>46148</v>
      </c>
      <c r="F29" s="58" t="n">
        <v>512.39</v>
      </c>
      <c r="G29" s="44" t="s">
        <v>462</v>
      </c>
      <c r="H29" s="45" t="s">
        <v>508</v>
      </c>
      <c r="I29" s="45" t="s">
        <v>509</v>
      </c>
      <c r="J29" s="66" t="n">
        <f aca="false">IF($B29="","",IFERROR(INDEX('Invoice &amp; Delivery Log'!$H$8:$H$157,MATCH($B29,'Invoice &amp; Delivery Log'!$A$8:$A$157,0)),""))</f>
        <v>46084</v>
      </c>
      <c r="K29" s="66" t="n">
        <f aca="false">IF($B29="","",IFERROR(INDEX('Invoice &amp; Delivery Log'!$M$8:$M$157,MATCH($B29,'Invoice &amp; Delivery Log'!$A$8:$A$157,0)),""))</f>
        <v>46144</v>
      </c>
      <c r="L29" s="52" t="n">
        <f aca="false">IF(OR($E29="",$J29=""),"",$E29-$J29)</f>
        <v>64</v>
      </c>
      <c r="M29" s="52" t="n">
        <f aca="false">IF(OR($E29="",$K29=""),"",$E29-$K29)</f>
        <v>4</v>
      </c>
      <c r="N29" s="53" t="str">
        <f aca="false">IF(OR($E29="",$K29=""),"n/a",IF($E29&lt;=$K29,"On Time","Late"))</f>
        <v>Late</v>
      </c>
      <c r="O29" s="50" t="n">
        <f aca="false">IF($B29="","",SUMIFS($F$8:$F29,$B$8:$B29,$B29))</f>
        <v>2593.45</v>
      </c>
      <c r="P29" s="50" t="n">
        <f aca="false">IF($B29="","",IFERROR(ROUND(INDEX('Invoice &amp; Delivery Log'!$N$8:$N$157,MATCH($B29,'Invoice &amp; Delivery Log'!$A$8:$A$157,0))-$O29,2),""))</f>
        <v>1676.47</v>
      </c>
      <c r="Q29" s="53" t="str">
        <f aca="false">IF($A29="","",IF($R29="","OK","REVIEW"))</f>
        <v>OK</v>
      </c>
      <c r="R29" s="62" t="str">
        <f aca="false">IF($A29="","",TRIM(IF($B29="","Missing invoice ID. ","")&amp;IF(AND($B29&lt;&gt;"",COUNTIFS('Invoice &amp; Delivery Log'!$A$8:$A$157,$B29)=0),"Invoice ID not found in the invoice log. ","")&amp;IF(COUNTIFS('Payments Log'!$A$8:$A$207,$A29)&gt;1,"Duplicate payment ID. ","")&amp;IF(N($F29)&lt;=0,"Payment amount must be greater than zero. ","")&amp;IF($E29="","Missing payment date. ","")&amp;IF(AND($E29&lt;&gt;"",$J29&lt;&gt;"",$E29&lt;$J29),"Payment dated before the invoice date. ","")&amp;IF(AND($E29&lt;&gt;"",$E29&gt;Settings!$C$5),"Payment date is in the future. ","")&amp;IF(ROUND(N($P29),2)&lt;0,"Payment exceeds the invoice balance. ","")&amp;IF($G29="","Missing payment method. ","")))</f>
        <v/>
      </c>
    </row>
    <row r="30" customFormat="false" ht="15" hidden="false" customHeight="true" outlineLevel="0" collapsed="false">
      <c r="A30" s="44" t="s">
        <v>510</v>
      </c>
      <c r="B30" s="44" t="s">
        <v>275</v>
      </c>
      <c r="C30" s="63" t="str">
        <f aca="false">IF($B30="","",IFERROR(INDEX('Invoice &amp; Delivery Log'!$B$8:$B$157,MATCH($B30,'Invoice &amp; Delivery Log'!$A$8:$A$157,0)),""))</f>
        <v>VEN-006</v>
      </c>
      <c r="D30" s="55" t="str">
        <f aca="false">IF($B30="","",IFERROR(INDEX('Invoice &amp; Delivery Log'!$C$8:$C$157,MATCH($B30,'Invoice &amp; Delivery Log'!$A$8:$A$157,0)),"INVOICE NOT FOUND"))</f>
        <v>Harborline Logistics</v>
      </c>
      <c r="E30" s="56" t="n">
        <v>46149</v>
      </c>
      <c r="F30" s="58" t="n">
        <v>2085.01</v>
      </c>
      <c r="G30" s="44" t="s">
        <v>483</v>
      </c>
      <c r="H30" s="45" t="s">
        <v>511</v>
      </c>
      <c r="I30" s="45" t="s">
        <v>466</v>
      </c>
      <c r="J30" s="64" t="n">
        <f aca="false">IF($B30="","",IFERROR(INDEX('Invoice &amp; Delivery Log'!$H$8:$H$157,MATCH($B30,'Invoice &amp; Delivery Log'!$A$8:$A$157,0)),""))</f>
        <v>46106</v>
      </c>
      <c r="K30" s="64" t="n">
        <f aca="false">IF($B30="","",IFERROR(INDEX('Invoice &amp; Delivery Log'!$M$8:$M$157,MATCH($B30,'Invoice &amp; Delivery Log'!$A$8:$A$157,0)),""))</f>
        <v>46136</v>
      </c>
      <c r="L30" s="47" t="n">
        <f aca="false">IF(OR($E30="",$J30=""),"",$E30-$J30)</f>
        <v>43</v>
      </c>
      <c r="M30" s="47" t="n">
        <f aca="false">IF(OR($E30="",$K30=""),"",$E30-$K30)</f>
        <v>13</v>
      </c>
      <c r="N30" s="36" t="str">
        <f aca="false">IF(OR($E30="",$K30=""),"n/a",IF($E30&lt;=$K30,"On Time","Late"))</f>
        <v>Late</v>
      </c>
      <c r="O30" s="30" t="n">
        <f aca="false">IF($B30="","",SUMIFS($F$8:$F30,$B$8:$B30,$B30))</f>
        <v>3312.21</v>
      </c>
      <c r="P30" s="30" t="n">
        <f aca="false">IF($B30="","",IFERROR(ROUND(INDEX('Invoice &amp; Delivery Log'!$N$8:$N$157,MATCH($B30,'Invoice &amp; Delivery Log'!$A$8:$A$157,0))-$O30,2),""))</f>
        <v>0</v>
      </c>
      <c r="Q30" s="36" t="str">
        <f aca="false">IF($A30="","",IF($R30="","OK","REVIEW"))</f>
        <v>OK</v>
      </c>
      <c r="R30" s="28" t="str">
        <f aca="false">IF($A30="","",TRIM(IF($B30="","Missing invoice ID. ","")&amp;IF(AND($B30&lt;&gt;"",COUNTIFS('Invoice &amp; Delivery Log'!$A$8:$A$157,$B30)=0),"Invoice ID not found in the invoice log. ","")&amp;IF(COUNTIFS('Payments Log'!$A$8:$A$207,$A30)&gt;1,"Duplicate payment ID. ","")&amp;IF(N($F30)&lt;=0,"Payment amount must be greater than zero. ","")&amp;IF($E30="","Missing payment date. ","")&amp;IF(AND($E30&lt;&gt;"",$J30&lt;&gt;"",$E30&lt;$J30),"Payment dated before the invoice date. ","")&amp;IF(AND($E30&lt;&gt;"",$E30&gt;Settings!$C$5),"Payment date is in the future. ","")&amp;IF(ROUND(N($P30),2)&lt;0,"Payment exceeds the invoice balance. ","")&amp;IF($G30="","Missing payment method. ","")))</f>
        <v/>
      </c>
    </row>
    <row r="31" customFormat="false" ht="15" hidden="false" customHeight="true" outlineLevel="0" collapsed="false">
      <c r="A31" s="44" t="s">
        <v>512</v>
      </c>
      <c r="B31" s="44" t="s">
        <v>327</v>
      </c>
      <c r="C31" s="65" t="str">
        <f aca="false">IF($B31="","",IFERROR(INDEX('Invoice &amp; Delivery Log'!$B$8:$B$157,MATCH($B31,'Invoice &amp; Delivery Log'!$A$8:$A$157,0)),""))</f>
        <v>VEN-012</v>
      </c>
      <c r="D31" s="59" t="str">
        <f aca="false">IF($B31="","",IFERROR(INDEX('Invoice &amp; Delivery Log'!$C$8:$C$157,MATCH($B31,'Invoice &amp; Delivery Log'!$A$8:$A$157,0)),"INVOICE NOT FOUND"))</f>
        <v>Willowbrook Beverage Co.</v>
      </c>
      <c r="E31" s="56" t="n">
        <v>46151</v>
      </c>
      <c r="F31" s="58" t="n">
        <v>1262.57</v>
      </c>
      <c r="G31" s="44" t="s">
        <v>476</v>
      </c>
      <c r="H31" s="45" t="s">
        <v>513</v>
      </c>
      <c r="I31" s="45" t="s">
        <v>469</v>
      </c>
      <c r="J31" s="66" t="n">
        <f aca="false">IF($B31="","",IFERROR(INDEX('Invoice &amp; Delivery Log'!$H$8:$H$157,MATCH($B31,'Invoice &amp; Delivery Log'!$A$8:$A$157,0)),""))</f>
        <v>46146</v>
      </c>
      <c r="K31" s="66" t="n">
        <f aca="false">IF($B31="","",IFERROR(INDEX('Invoice &amp; Delivery Log'!$M$8:$M$157,MATCH($B31,'Invoice &amp; Delivery Log'!$A$8:$A$157,0)),""))</f>
        <v>46161</v>
      </c>
      <c r="L31" s="52" t="n">
        <f aca="false">IF(OR($E31="",$J31=""),"",$E31-$J31)</f>
        <v>5</v>
      </c>
      <c r="M31" s="52" t="n">
        <f aca="false">IF(OR($E31="",$K31=""),"",$E31-$K31)</f>
        <v>-10</v>
      </c>
      <c r="N31" s="53" t="str">
        <f aca="false">IF(OR($E31="",$K31=""),"n/a",IF($E31&lt;=$K31,"On Time","Late"))</f>
        <v>On Time</v>
      </c>
      <c r="O31" s="50" t="n">
        <f aca="false">IF($B31="","",SUMIFS($F$8:$F31,$B$8:$B31,$B31))</f>
        <v>1262.57</v>
      </c>
      <c r="P31" s="50" t="n">
        <f aca="false">IF($B31="","",IFERROR(ROUND(INDEX('Invoice &amp; Delivery Log'!$N$8:$N$157,MATCH($B31,'Invoice &amp; Delivery Log'!$A$8:$A$157,0))-$O31,2),""))</f>
        <v>0</v>
      </c>
      <c r="Q31" s="53" t="str">
        <f aca="false">IF($A31="","",IF($R31="","OK","REVIEW"))</f>
        <v>OK</v>
      </c>
      <c r="R31" s="62" t="str">
        <f aca="false">IF($A31="","",TRIM(IF($B31="","Missing invoice ID. ","")&amp;IF(AND($B31&lt;&gt;"",COUNTIFS('Invoice &amp; Delivery Log'!$A$8:$A$157,$B31)=0),"Invoice ID not found in the invoice log. ","")&amp;IF(COUNTIFS('Payments Log'!$A$8:$A$207,$A31)&gt;1,"Duplicate payment ID. ","")&amp;IF(N($F31)&lt;=0,"Payment amount must be greater than zero. ","")&amp;IF($E31="","Missing payment date. ","")&amp;IF(AND($E31&lt;&gt;"",$J31&lt;&gt;"",$E31&lt;$J31),"Payment dated before the invoice date. ","")&amp;IF(AND($E31&lt;&gt;"",$E31&gt;Settings!$C$5),"Payment date is in the future. ","")&amp;IF(ROUND(N($P31),2)&lt;0,"Payment exceeds the invoice balance. ","")&amp;IF($G31="","Missing payment method. ","")))</f>
        <v/>
      </c>
    </row>
    <row r="32" customFormat="false" ht="15" hidden="false" customHeight="true" outlineLevel="0" collapsed="false">
      <c r="A32" s="44" t="s">
        <v>514</v>
      </c>
      <c r="B32" s="44" t="s">
        <v>233</v>
      </c>
      <c r="C32" s="63" t="str">
        <f aca="false">IF($B32="","",IFERROR(INDEX('Invoice &amp; Delivery Log'!$B$8:$B$157,MATCH($B32,'Invoice &amp; Delivery Log'!$A$8:$A$157,0)),""))</f>
        <v>VEN-010</v>
      </c>
      <c r="D32" s="55" t="str">
        <f aca="false">IF($B32="","",IFERROR(INDEX('Invoice &amp; Delivery Log'!$C$8:$C$157,MATCH($B32,'Invoice &amp; Delivery Log'!$A$8:$A$157,0)),"INVOICE NOT FOUND"))</f>
        <v>Copperfield Textiles</v>
      </c>
      <c r="E32" s="56" t="n">
        <v>46154</v>
      </c>
      <c r="F32" s="58" t="n">
        <v>2188.86</v>
      </c>
      <c r="G32" s="44" t="s">
        <v>458</v>
      </c>
      <c r="H32" s="45" t="s">
        <v>515</v>
      </c>
      <c r="I32" s="45" t="s">
        <v>466</v>
      </c>
      <c r="J32" s="64" t="n">
        <f aca="false">IF($B32="","",IFERROR(INDEX('Invoice &amp; Delivery Log'!$H$8:$H$157,MATCH($B32,'Invoice &amp; Delivery Log'!$A$8:$A$157,0)),""))</f>
        <v>46084</v>
      </c>
      <c r="K32" s="64" t="n">
        <f aca="false">IF($B32="","",IFERROR(INDEX('Invoice &amp; Delivery Log'!$M$8:$M$157,MATCH($B32,'Invoice &amp; Delivery Log'!$A$8:$A$157,0)),""))</f>
        <v>46144</v>
      </c>
      <c r="L32" s="47" t="n">
        <f aca="false">IF(OR($E32="",$J32=""),"",$E32-$J32)</f>
        <v>70</v>
      </c>
      <c r="M32" s="47" t="n">
        <f aca="false">IF(OR($E32="",$K32=""),"",$E32-$K32)</f>
        <v>10</v>
      </c>
      <c r="N32" s="36" t="str">
        <f aca="false">IF(OR($E32="",$K32=""),"n/a",IF($E32&lt;=$K32,"On Time","Late"))</f>
        <v>Late</v>
      </c>
      <c r="O32" s="30" t="n">
        <f aca="false">IF($B32="","",SUMIFS($F$8:$F32,$B$8:$B32,$B32))</f>
        <v>4782.31</v>
      </c>
      <c r="P32" s="30" t="n">
        <f aca="false">IF($B32="","",IFERROR(ROUND(INDEX('Invoice &amp; Delivery Log'!$N$8:$N$157,MATCH($B32,'Invoice &amp; Delivery Log'!$A$8:$A$157,0))-$O32,2),""))</f>
        <v>-512.39</v>
      </c>
      <c r="Q32" s="36" t="str">
        <f aca="false">IF($A32="","",IF($R32="","OK","REVIEW"))</f>
        <v>REVIEW</v>
      </c>
      <c r="R32" s="28" t="str">
        <f aca="false">IF($A32="","",TRIM(IF($B32="","Missing invoice ID. ","")&amp;IF(AND($B32&lt;&gt;"",COUNTIFS('Invoice &amp; Delivery Log'!$A$8:$A$157,$B32)=0),"Invoice ID not found in the invoice log. ","")&amp;IF(COUNTIFS('Payments Log'!$A$8:$A$207,$A32)&gt;1,"Duplicate payment ID. ","")&amp;IF(N($F32)&lt;=0,"Payment amount must be greater than zero. ","")&amp;IF($E32="","Missing payment date. ","")&amp;IF(AND($E32&lt;&gt;"",$J32&lt;&gt;"",$E32&lt;$J32),"Payment dated before the invoice date. ","")&amp;IF(AND($E32&lt;&gt;"",$E32&gt;Settings!$C$5),"Payment date is in the future. ","")&amp;IF(ROUND(N($P32),2)&lt;0,"Payment exceeds the invoice balance. ","")&amp;IF($G32="","Missing payment method. ","")))</f>
        <v>Payment exceeds the invoice balance.</v>
      </c>
    </row>
    <row r="33" customFormat="false" ht="15" hidden="false" customHeight="true" outlineLevel="0" collapsed="false">
      <c r="A33" s="44" t="s">
        <v>516</v>
      </c>
      <c r="B33" s="44" t="s">
        <v>324</v>
      </c>
      <c r="C33" s="65" t="str">
        <f aca="false">IF($B33="","",IFERROR(INDEX('Invoice &amp; Delivery Log'!$B$8:$B$157,MATCH($B33,'Invoice &amp; Delivery Log'!$A$8:$A$157,0)),""))</f>
        <v>VEN-012</v>
      </c>
      <c r="D33" s="59" t="str">
        <f aca="false">IF($B33="","",IFERROR(INDEX('Invoice &amp; Delivery Log'!$C$8:$C$157,MATCH($B33,'Invoice &amp; Delivery Log'!$A$8:$A$157,0)),"INVOICE NOT FOUND"))</f>
        <v>Willowbrook Beverage Co.</v>
      </c>
      <c r="E33" s="56" t="n">
        <v>46156</v>
      </c>
      <c r="F33" s="58" t="n">
        <v>979.51</v>
      </c>
      <c r="G33" s="44" t="s">
        <v>473</v>
      </c>
      <c r="H33" s="45" t="s">
        <v>517</v>
      </c>
      <c r="I33" s="45" t="s">
        <v>469</v>
      </c>
      <c r="J33" s="66" t="n">
        <f aca="false">IF($B33="","",IFERROR(INDEX('Invoice &amp; Delivery Log'!$H$8:$H$157,MATCH($B33,'Invoice &amp; Delivery Log'!$A$8:$A$157,0)),""))</f>
        <v>46143</v>
      </c>
      <c r="K33" s="66" t="n">
        <f aca="false">IF($B33="","",IFERROR(INDEX('Invoice &amp; Delivery Log'!$M$8:$M$157,MATCH($B33,'Invoice &amp; Delivery Log'!$A$8:$A$157,0)),""))</f>
        <v>46158</v>
      </c>
      <c r="L33" s="52" t="n">
        <f aca="false">IF(OR($E33="",$J33=""),"",$E33-$J33)</f>
        <v>13</v>
      </c>
      <c r="M33" s="52" t="n">
        <f aca="false">IF(OR($E33="",$K33=""),"",$E33-$K33)</f>
        <v>-2</v>
      </c>
      <c r="N33" s="53" t="str">
        <f aca="false">IF(OR($E33="",$K33=""),"n/a",IF($E33&lt;=$K33,"On Time","Late"))</f>
        <v>On Time</v>
      </c>
      <c r="O33" s="50" t="n">
        <f aca="false">IF($B33="","",SUMIFS($F$8:$F33,$B$8:$B33,$B33))</f>
        <v>979.51</v>
      </c>
      <c r="P33" s="50" t="n">
        <f aca="false">IF($B33="","",IFERROR(ROUND(INDEX('Invoice &amp; Delivery Log'!$N$8:$N$157,MATCH($B33,'Invoice &amp; Delivery Log'!$A$8:$A$157,0))-$O33,2),""))</f>
        <v>0</v>
      </c>
      <c r="Q33" s="53" t="str">
        <f aca="false">IF($A33="","",IF($R33="","OK","REVIEW"))</f>
        <v>OK</v>
      </c>
      <c r="R33" s="62" t="str">
        <f aca="false">IF($A33="","",TRIM(IF($B33="","Missing invoice ID. ","")&amp;IF(AND($B33&lt;&gt;"",COUNTIFS('Invoice &amp; Delivery Log'!$A$8:$A$157,$B33)=0),"Invoice ID not found in the invoice log. ","")&amp;IF(COUNTIFS('Payments Log'!$A$8:$A$207,$A33)&gt;1,"Duplicate payment ID. ","")&amp;IF(N($F33)&lt;=0,"Payment amount must be greater than zero. ","")&amp;IF($E33="","Missing payment date. ","")&amp;IF(AND($E33&lt;&gt;"",$J33&lt;&gt;"",$E33&lt;$J33),"Payment dated before the invoice date. ","")&amp;IF(AND($E33&lt;&gt;"",$E33&gt;Settings!$C$5),"Payment date is in the future. ","")&amp;IF(ROUND(N($P33),2)&lt;0,"Payment exceeds the invoice balance. ","")&amp;IF($G33="","Missing payment method. ","")))</f>
        <v/>
      </c>
    </row>
    <row r="34" customFormat="false" ht="15" hidden="false" customHeight="true" outlineLevel="0" collapsed="false">
      <c r="A34" s="44" t="s">
        <v>518</v>
      </c>
      <c r="B34" s="44" t="s">
        <v>318</v>
      </c>
      <c r="C34" s="63" t="str">
        <f aca="false">IF($B34="","",IFERROR(INDEX('Invoice &amp; Delivery Log'!$B$8:$B$157,MATCH($B34,'Invoice &amp; Delivery Log'!$A$8:$A$157,0)),""))</f>
        <v>VEN-004</v>
      </c>
      <c r="D34" s="55" t="str">
        <f aca="false">IF($B34="","",IFERROR(INDEX('Invoice &amp; Delivery Log'!$C$8:$C$157,MATCH($B34,'Invoice &amp; Delivery Log'!$A$8:$A$157,0)),"INVOICE NOT FOUND"))</f>
        <v>Lakeshore Packaging Group</v>
      </c>
      <c r="E34" s="56" t="n">
        <v>46157</v>
      </c>
      <c r="F34" s="58" t="n">
        <v>3190.52</v>
      </c>
      <c r="G34" s="44" t="s">
        <v>458</v>
      </c>
      <c r="H34" s="45" t="s">
        <v>519</v>
      </c>
      <c r="I34" s="45" t="s">
        <v>469</v>
      </c>
      <c r="J34" s="64" t="n">
        <f aca="false">IF($B34="","",IFERROR(INDEX('Invoice &amp; Delivery Log'!$H$8:$H$157,MATCH($B34,'Invoice &amp; Delivery Log'!$A$8:$A$157,0)),""))</f>
        <v>46139</v>
      </c>
      <c r="K34" s="64" t="n">
        <f aca="false">IF($B34="","",IFERROR(INDEX('Invoice &amp; Delivery Log'!$M$8:$M$157,MATCH($B34,'Invoice &amp; Delivery Log'!$A$8:$A$157,0)),""))</f>
        <v>46169</v>
      </c>
      <c r="L34" s="47" t="n">
        <f aca="false">IF(OR($E34="",$J34=""),"",$E34-$J34)</f>
        <v>18</v>
      </c>
      <c r="M34" s="47" t="n">
        <f aca="false">IF(OR($E34="",$K34=""),"",$E34-$K34)</f>
        <v>-12</v>
      </c>
      <c r="N34" s="36" t="str">
        <f aca="false">IF(OR($E34="",$K34=""),"n/a",IF($E34&lt;=$K34,"On Time","Late"))</f>
        <v>On Time</v>
      </c>
      <c r="O34" s="30" t="n">
        <f aca="false">IF($B34="","",SUMIFS($F$8:$F34,$B$8:$B34,$B34))</f>
        <v>3190.52</v>
      </c>
      <c r="P34" s="30" t="n">
        <f aca="false">IF($B34="","",IFERROR(ROUND(INDEX('Invoice &amp; Delivery Log'!$N$8:$N$157,MATCH($B34,'Invoice &amp; Delivery Log'!$A$8:$A$157,0))-$O34,2),""))</f>
        <v>0</v>
      </c>
      <c r="Q34" s="36" t="str">
        <f aca="false">IF($A34="","",IF($R34="","OK","REVIEW"))</f>
        <v>OK</v>
      </c>
      <c r="R34" s="28" t="str">
        <f aca="false">IF($A34="","",TRIM(IF($B34="","Missing invoice ID. ","")&amp;IF(AND($B34&lt;&gt;"",COUNTIFS('Invoice &amp; Delivery Log'!$A$8:$A$157,$B34)=0),"Invoice ID not found in the invoice log. ","")&amp;IF(COUNTIFS('Payments Log'!$A$8:$A$207,$A34)&gt;1,"Duplicate payment ID. ","")&amp;IF(N($F34)&lt;=0,"Payment amount must be greater than zero. ","")&amp;IF($E34="","Missing payment date. ","")&amp;IF(AND($E34&lt;&gt;"",$J34&lt;&gt;"",$E34&lt;$J34),"Payment dated before the invoice date. ","")&amp;IF(AND($E34&lt;&gt;"",$E34&gt;Settings!$C$5),"Payment date is in the future. ","")&amp;IF(ROUND(N($P34),2)&lt;0,"Payment exceeds the invoice balance. ","")&amp;IF($G34="","Missing payment method. ","")))</f>
        <v/>
      </c>
    </row>
    <row r="35" customFormat="false" ht="15" hidden="false" customHeight="true" outlineLevel="0" collapsed="false">
      <c r="A35" s="44" t="s">
        <v>520</v>
      </c>
      <c r="B35" s="44" t="s">
        <v>334</v>
      </c>
      <c r="C35" s="65" t="str">
        <f aca="false">IF($B35="","",IFERROR(INDEX('Invoice &amp; Delivery Log'!$B$8:$B$157,MATCH($B35,'Invoice &amp; Delivery Log'!$A$8:$A$157,0)),""))</f>
        <v>VEN-008</v>
      </c>
      <c r="D35" s="59" t="str">
        <f aca="false">IF($B35="","",IFERROR(INDEX('Invoice &amp; Delivery Log'!$C$8:$C$157,MATCH($B35,'Invoice &amp; Delivery Log'!$A$8:$A$157,0)),"INVOICE NOT FOUND"))</f>
        <v>Prairie Print &amp; Signage</v>
      </c>
      <c r="E35" s="56" t="n">
        <v>46158</v>
      </c>
      <c r="F35" s="58" t="n">
        <v>672.92</v>
      </c>
      <c r="G35" s="44" t="s">
        <v>483</v>
      </c>
      <c r="H35" s="45" t="s">
        <v>521</v>
      </c>
      <c r="I35" s="45" t="s">
        <v>469</v>
      </c>
      <c r="J35" s="66" t="n">
        <f aca="false">IF($B35="","",IFERROR(INDEX('Invoice &amp; Delivery Log'!$H$8:$H$157,MATCH($B35,'Invoice &amp; Delivery Log'!$A$8:$A$157,0)),""))</f>
        <v>46150</v>
      </c>
      <c r="K35" s="66" t="n">
        <f aca="false">IF($B35="","",IFERROR(INDEX('Invoice &amp; Delivery Log'!$M$8:$M$157,MATCH($B35,'Invoice &amp; Delivery Log'!$A$8:$A$157,0)),""))</f>
        <v>46171</v>
      </c>
      <c r="L35" s="52" t="n">
        <f aca="false">IF(OR($E35="",$J35=""),"",$E35-$J35)</f>
        <v>8</v>
      </c>
      <c r="M35" s="52" t="n">
        <f aca="false">IF(OR($E35="",$K35=""),"",$E35-$K35)</f>
        <v>-13</v>
      </c>
      <c r="N35" s="53" t="str">
        <f aca="false">IF(OR($E35="",$K35=""),"n/a",IF($E35&lt;=$K35,"On Time","Late"))</f>
        <v>On Time</v>
      </c>
      <c r="O35" s="50" t="n">
        <f aca="false">IF($B35="","",SUMIFS($F$8:$F35,$B$8:$B35,$B35))</f>
        <v>672.92</v>
      </c>
      <c r="P35" s="50" t="n">
        <f aca="false">IF($B35="","",IFERROR(ROUND(INDEX('Invoice &amp; Delivery Log'!$N$8:$N$157,MATCH($B35,'Invoice &amp; Delivery Log'!$A$8:$A$157,0))-$O35,2),""))</f>
        <v>0</v>
      </c>
      <c r="Q35" s="53" t="str">
        <f aca="false">IF($A35="","",IF($R35="","OK","REVIEW"))</f>
        <v>OK</v>
      </c>
      <c r="R35" s="62" t="str">
        <f aca="false">IF($A35="","",TRIM(IF($B35="","Missing invoice ID. ","")&amp;IF(AND($B35&lt;&gt;"",COUNTIFS('Invoice &amp; Delivery Log'!$A$8:$A$157,$B35)=0),"Invoice ID not found in the invoice log. ","")&amp;IF(COUNTIFS('Payments Log'!$A$8:$A$207,$A35)&gt;1,"Duplicate payment ID. ","")&amp;IF(N($F35)&lt;=0,"Payment amount must be greater than zero. ","")&amp;IF($E35="","Missing payment date. ","")&amp;IF(AND($E35&lt;&gt;"",$J35&lt;&gt;"",$E35&lt;$J35),"Payment dated before the invoice date. ","")&amp;IF(AND($E35&lt;&gt;"",$E35&gt;Settings!$C$5),"Payment date is in the future. ","")&amp;IF(ROUND(N($P35),2)&lt;0,"Payment exceeds the invoice balance. ","")&amp;IF($G35="","Missing payment method. ","")))</f>
        <v/>
      </c>
    </row>
    <row r="36" customFormat="false" ht="15" hidden="false" customHeight="true" outlineLevel="0" collapsed="false">
      <c r="A36" s="44" t="s">
        <v>522</v>
      </c>
      <c r="B36" s="44" t="s">
        <v>314</v>
      </c>
      <c r="C36" s="63" t="str">
        <f aca="false">IF($B36="","",IFERROR(INDEX('Invoice &amp; Delivery Log'!$B$8:$B$157,MATCH($B36,'Invoice &amp; Delivery Log'!$A$8:$A$157,0)),""))</f>
        <v>VEN-010</v>
      </c>
      <c r="D36" s="55" t="str">
        <f aca="false">IF($B36="","",IFERROR(INDEX('Invoice &amp; Delivery Log'!$C$8:$C$157,MATCH($B36,'Invoice &amp; Delivery Log'!$A$8:$A$157,0)),"INVOICE NOT FOUND"))</f>
        <v>Copperfield Textiles</v>
      </c>
      <c r="E36" s="56" t="n">
        <v>46161</v>
      </c>
      <c r="F36" s="58" t="n">
        <v>8539.35</v>
      </c>
      <c r="G36" s="44" t="s">
        <v>476</v>
      </c>
      <c r="H36" s="45" t="s">
        <v>523</v>
      </c>
      <c r="I36" s="45" t="s">
        <v>469</v>
      </c>
      <c r="J36" s="64" t="n">
        <f aca="false">IF($B36="","",IFERROR(INDEX('Invoice &amp; Delivery Log'!$H$8:$H$157,MATCH($B36,'Invoice &amp; Delivery Log'!$A$8:$A$157,0)),""))</f>
        <v>46131</v>
      </c>
      <c r="K36" s="64" t="n">
        <f aca="false">IF($B36="","",IFERROR(INDEX('Invoice &amp; Delivery Log'!$M$8:$M$157,MATCH($B36,'Invoice &amp; Delivery Log'!$A$8:$A$157,0)),""))</f>
        <v>46191</v>
      </c>
      <c r="L36" s="47" t="n">
        <f aca="false">IF(OR($E36="",$J36=""),"",$E36-$J36)</f>
        <v>30</v>
      </c>
      <c r="M36" s="47" t="n">
        <f aca="false">IF(OR($E36="",$K36=""),"",$E36-$K36)</f>
        <v>-30</v>
      </c>
      <c r="N36" s="36" t="str">
        <f aca="false">IF(OR($E36="",$K36=""),"n/a",IF($E36&lt;=$K36,"On Time","Late"))</f>
        <v>On Time</v>
      </c>
      <c r="O36" s="30" t="n">
        <f aca="false">IF($B36="","",SUMIFS($F$8:$F36,$B$8:$B36,$B36))</f>
        <v>8539.35</v>
      </c>
      <c r="P36" s="30" t="n">
        <f aca="false">IF($B36="","",IFERROR(ROUND(INDEX('Invoice &amp; Delivery Log'!$N$8:$N$157,MATCH($B36,'Invoice &amp; Delivery Log'!$A$8:$A$157,0))-$O36,2),""))</f>
        <v>0</v>
      </c>
      <c r="Q36" s="36" t="str">
        <f aca="false">IF($A36="","",IF($R36="","OK","REVIEW"))</f>
        <v>OK</v>
      </c>
      <c r="R36" s="28" t="str">
        <f aca="false">IF($A36="","",TRIM(IF($B36="","Missing invoice ID. ","")&amp;IF(AND($B36&lt;&gt;"",COUNTIFS('Invoice &amp; Delivery Log'!$A$8:$A$157,$B36)=0),"Invoice ID not found in the invoice log. ","")&amp;IF(COUNTIFS('Payments Log'!$A$8:$A$207,$A36)&gt;1,"Duplicate payment ID. ","")&amp;IF(N($F36)&lt;=0,"Payment amount must be greater than zero. ","")&amp;IF($E36="","Missing payment date. ","")&amp;IF(AND($E36&lt;&gt;"",$J36&lt;&gt;"",$E36&lt;$J36),"Payment dated before the invoice date. ","")&amp;IF(AND($E36&lt;&gt;"",$E36&gt;Settings!$C$5),"Payment date is in the future. ","")&amp;IF(ROUND(N($P36),2)&lt;0,"Payment exceeds the invoice balance. ","")&amp;IF($G36="","Missing payment method. ","")))</f>
        <v/>
      </c>
    </row>
    <row r="37" customFormat="false" ht="15" hidden="false" customHeight="true" outlineLevel="0" collapsed="false">
      <c r="A37" s="44" t="s">
        <v>524</v>
      </c>
      <c r="B37" s="44" t="s">
        <v>303</v>
      </c>
      <c r="C37" s="65" t="str">
        <f aca="false">IF($B37="","",IFERROR(INDEX('Invoice &amp; Delivery Log'!$B$8:$B$157,MATCH($B37,'Invoice &amp; Delivery Log'!$A$8:$A$157,0)),""))</f>
        <v>VEN-006</v>
      </c>
      <c r="D37" s="59" t="str">
        <f aca="false">IF($B37="","",IFERROR(INDEX('Invoice &amp; Delivery Log'!$C$8:$C$157,MATCH($B37,'Invoice &amp; Delivery Log'!$A$8:$A$157,0)),"INVOICE NOT FOUND"))</f>
        <v>Harborline Logistics</v>
      </c>
      <c r="E37" s="56" t="n">
        <v>46162</v>
      </c>
      <c r="F37" s="58" t="n">
        <v>956.19</v>
      </c>
      <c r="G37" s="44" t="s">
        <v>476</v>
      </c>
      <c r="H37" s="45" t="s">
        <v>525</v>
      </c>
      <c r="I37" s="45" t="s">
        <v>460</v>
      </c>
      <c r="J37" s="66" t="n">
        <f aca="false">IF($B37="","",IFERROR(INDEX('Invoice &amp; Delivery Log'!$H$8:$H$157,MATCH($B37,'Invoice &amp; Delivery Log'!$A$8:$A$157,0)),""))</f>
        <v>46138</v>
      </c>
      <c r="K37" s="66" t="n">
        <f aca="false">IF($B37="","",IFERROR(INDEX('Invoice &amp; Delivery Log'!$M$8:$M$157,MATCH($B37,'Invoice &amp; Delivery Log'!$A$8:$A$157,0)),""))</f>
        <v>46168</v>
      </c>
      <c r="L37" s="52" t="n">
        <f aca="false">IF(OR($E37="",$J37=""),"",$E37-$J37)</f>
        <v>24</v>
      </c>
      <c r="M37" s="52" t="n">
        <f aca="false">IF(OR($E37="",$K37=""),"",$E37-$K37)</f>
        <v>-6</v>
      </c>
      <c r="N37" s="53" t="str">
        <f aca="false">IF(OR($E37="",$K37=""),"n/a",IF($E37&lt;=$K37,"On Time","Late"))</f>
        <v>On Time</v>
      </c>
      <c r="O37" s="50" t="n">
        <f aca="false">IF($B37="","",SUMIFS($F$8:$F37,$B$8:$B37,$B37))</f>
        <v>956.19</v>
      </c>
      <c r="P37" s="50" t="n">
        <f aca="false">IF($B37="","",IFERROR(ROUND(INDEX('Invoice &amp; Delivery Log'!$N$8:$N$157,MATCH($B37,'Invoice &amp; Delivery Log'!$A$8:$A$157,0))-$O37,2),""))</f>
        <v>767.7</v>
      </c>
      <c r="Q37" s="53" t="str">
        <f aca="false">IF($A37="","",IF($R37="","OK","REVIEW"))</f>
        <v>OK</v>
      </c>
      <c r="R37" s="62" t="str">
        <f aca="false">IF($A37="","",TRIM(IF($B37="","Missing invoice ID. ","")&amp;IF(AND($B37&lt;&gt;"",COUNTIFS('Invoice &amp; Delivery Log'!$A$8:$A$157,$B37)=0),"Invoice ID not found in the invoice log. ","")&amp;IF(COUNTIFS('Payments Log'!$A$8:$A$207,$A37)&gt;1,"Duplicate payment ID. ","")&amp;IF(N($F37)&lt;=0,"Payment amount must be greater than zero. ","")&amp;IF($E37="","Missing payment date. ","")&amp;IF(AND($E37&lt;&gt;"",$J37&lt;&gt;"",$E37&lt;$J37),"Payment dated before the invoice date. ","")&amp;IF(AND($E37&lt;&gt;"",$E37&gt;Settings!$C$5),"Payment date is in the future. ","")&amp;IF(ROUND(N($P37),2)&lt;0,"Payment exceeds the invoice balance. ","")&amp;IF($G37="","Missing payment method. ","")))</f>
        <v/>
      </c>
    </row>
    <row r="38" customFormat="false" ht="15" hidden="false" customHeight="true" outlineLevel="0" collapsed="false">
      <c r="A38" s="44" t="s">
        <v>526</v>
      </c>
      <c r="B38" s="44" t="s">
        <v>310</v>
      </c>
      <c r="C38" s="63" t="str">
        <f aca="false">IF($B38="","",IFERROR(INDEX('Invoice &amp; Delivery Log'!$B$8:$B$157,MATCH($B38,'Invoice &amp; Delivery Log'!$A$8:$A$157,0)),""))</f>
        <v>VEN-007</v>
      </c>
      <c r="D38" s="55" t="str">
        <f aca="false">IF($B38="","",IFERROR(INDEX('Invoice &amp; Delivery Log'!$C$8:$C$157,MATCH($B38,'Invoice &amp; Delivery Log'!$A$8:$A$157,0)),"INVOICE NOT FOUND"))</f>
        <v>Bluepoint Electrical Supply</v>
      </c>
      <c r="E38" s="56" t="n">
        <v>46163</v>
      </c>
      <c r="F38" s="58" t="n">
        <v>2112.2</v>
      </c>
      <c r="G38" s="44" t="s">
        <v>473</v>
      </c>
      <c r="H38" s="45" t="s">
        <v>527</v>
      </c>
      <c r="I38" s="45" t="s">
        <v>469</v>
      </c>
      <c r="J38" s="64" t="n">
        <f aca="false">IF($B38="","",IFERROR(INDEX('Invoice &amp; Delivery Log'!$H$8:$H$157,MATCH($B38,'Invoice &amp; Delivery Log'!$A$8:$A$157,0)),""))</f>
        <v>46139</v>
      </c>
      <c r="K38" s="64" t="n">
        <f aca="false">IF($B38="","",IFERROR(INDEX('Invoice &amp; Delivery Log'!$M$8:$M$157,MATCH($B38,'Invoice &amp; Delivery Log'!$A$8:$A$157,0)),""))</f>
        <v>46169</v>
      </c>
      <c r="L38" s="47" t="n">
        <f aca="false">IF(OR($E38="",$J38=""),"",$E38-$J38)</f>
        <v>24</v>
      </c>
      <c r="M38" s="47" t="n">
        <f aca="false">IF(OR($E38="",$K38=""),"",$E38-$K38)</f>
        <v>-6</v>
      </c>
      <c r="N38" s="36" t="str">
        <f aca="false">IF(OR($E38="",$K38=""),"n/a",IF($E38&lt;=$K38,"On Time","Late"))</f>
        <v>On Time</v>
      </c>
      <c r="O38" s="30" t="n">
        <f aca="false">IF($B38="","",SUMIFS($F$8:$F38,$B$8:$B38,$B38))</f>
        <v>2112.2</v>
      </c>
      <c r="P38" s="30" t="n">
        <f aca="false">IF($B38="","",IFERROR(ROUND(INDEX('Invoice &amp; Delivery Log'!$N$8:$N$157,MATCH($B38,'Invoice &amp; Delivery Log'!$A$8:$A$157,0))-$O38,2),""))</f>
        <v>0</v>
      </c>
      <c r="Q38" s="36" t="str">
        <f aca="false">IF($A38="","",IF($R38="","OK","REVIEW"))</f>
        <v>OK</v>
      </c>
      <c r="R38" s="28" t="str">
        <f aca="false">IF($A38="","",TRIM(IF($B38="","Missing invoice ID. ","")&amp;IF(AND($B38&lt;&gt;"",COUNTIFS('Invoice &amp; Delivery Log'!$A$8:$A$157,$B38)=0),"Invoice ID not found in the invoice log. ","")&amp;IF(COUNTIFS('Payments Log'!$A$8:$A$207,$A38)&gt;1,"Duplicate payment ID. ","")&amp;IF(N($F38)&lt;=0,"Payment amount must be greater than zero. ","")&amp;IF($E38="","Missing payment date. ","")&amp;IF(AND($E38&lt;&gt;"",$J38&lt;&gt;"",$E38&lt;$J38),"Payment dated before the invoice date. ","")&amp;IF(AND($E38&lt;&gt;"",$E38&gt;Settings!$C$5),"Payment date is in the future. ","")&amp;IF(ROUND(N($P38),2)&lt;0,"Payment exceeds the invoice balance. ","")&amp;IF($G38="","Missing payment method. ","")))</f>
        <v/>
      </c>
    </row>
    <row r="39" customFormat="false" ht="15" hidden="false" customHeight="true" outlineLevel="0" collapsed="false">
      <c r="A39" s="44" t="s">
        <v>528</v>
      </c>
      <c r="B39" s="44" t="s">
        <v>341</v>
      </c>
      <c r="C39" s="65" t="str">
        <f aca="false">IF($B39="","",IFERROR(INDEX('Invoice &amp; Delivery Log'!$B$8:$B$157,MATCH($B39,'Invoice &amp; Delivery Log'!$A$8:$A$157,0)),""))</f>
        <v>VEN-009</v>
      </c>
      <c r="D39" s="59" t="str">
        <f aca="false">IF($B39="","",IFERROR(INDEX('Invoice &amp; Delivery Log'!$C$8:$C$157,MATCH($B39,'Invoice &amp; Delivery Log'!$A$8:$A$157,0)),"INVOICE NOT FOUND"))</f>
        <v>Vertex IT Solutions</v>
      </c>
      <c r="E39" s="56" t="n">
        <v>46167</v>
      </c>
      <c r="F39" s="58" t="n">
        <v>4368.05</v>
      </c>
      <c r="G39" s="44" t="s">
        <v>462</v>
      </c>
      <c r="H39" s="45" t="s">
        <v>529</v>
      </c>
      <c r="I39" s="45" t="s">
        <v>460</v>
      </c>
      <c r="J39" s="66" t="n">
        <f aca="false">IF($B39="","",IFERROR(INDEX('Invoice &amp; Delivery Log'!$H$8:$H$157,MATCH($B39,'Invoice &amp; Delivery Log'!$A$8:$A$157,0)),""))</f>
        <v>46153</v>
      </c>
      <c r="K39" s="66" t="n">
        <f aca="false">IF($B39="","",IFERROR(INDEX('Invoice &amp; Delivery Log'!$M$8:$M$157,MATCH($B39,'Invoice &amp; Delivery Log'!$A$8:$A$157,0)),""))</f>
        <v>46183</v>
      </c>
      <c r="L39" s="52" t="n">
        <f aca="false">IF(OR($E39="",$J39=""),"",$E39-$J39)</f>
        <v>14</v>
      </c>
      <c r="M39" s="52" t="n">
        <f aca="false">IF(OR($E39="",$K39=""),"",$E39-$K39)</f>
        <v>-16</v>
      </c>
      <c r="N39" s="53" t="str">
        <f aca="false">IF(OR($E39="",$K39=""),"n/a",IF($E39&lt;=$K39,"On Time","Late"))</f>
        <v>On Time</v>
      </c>
      <c r="O39" s="50" t="n">
        <f aca="false">IF($B39="","",SUMIFS($F$8:$F39,$B$8:$B39,$B39))</f>
        <v>4368.05</v>
      </c>
      <c r="P39" s="50" t="n">
        <f aca="false">IF($B39="","",IFERROR(ROUND(INDEX('Invoice &amp; Delivery Log'!$N$8:$N$157,MATCH($B39,'Invoice &amp; Delivery Log'!$A$8:$A$157,0))-$O39,2),""))</f>
        <v>4274.36</v>
      </c>
      <c r="Q39" s="53" t="str">
        <f aca="false">IF($A39="","",IF($R39="","OK","REVIEW"))</f>
        <v>OK</v>
      </c>
      <c r="R39" s="62" t="str">
        <f aca="false">IF($A39="","",TRIM(IF($B39="","Missing invoice ID. ","")&amp;IF(AND($B39&lt;&gt;"",COUNTIFS('Invoice &amp; Delivery Log'!$A$8:$A$157,$B39)=0),"Invoice ID not found in the invoice log. ","")&amp;IF(COUNTIFS('Payments Log'!$A$8:$A$207,$A39)&gt;1,"Duplicate payment ID. ","")&amp;IF(N($F39)&lt;=0,"Payment amount must be greater than zero. ","")&amp;IF($E39="","Missing payment date. ","")&amp;IF(AND($E39&lt;&gt;"",$J39&lt;&gt;"",$E39&lt;$J39),"Payment dated before the invoice date. ","")&amp;IF(AND($E39&lt;&gt;"",$E39&gt;Settings!$C$5),"Payment date is in the future. ","")&amp;IF(ROUND(N($P39),2)&lt;0,"Payment exceeds the invoice balance. ","")&amp;IF($G39="","Missing payment method. ","")))</f>
        <v/>
      </c>
    </row>
    <row r="40" customFormat="false" ht="15" hidden="false" customHeight="true" outlineLevel="0" collapsed="false">
      <c r="A40" s="44" t="s">
        <v>530</v>
      </c>
      <c r="B40" s="44" t="s">
        <v>338</v>
      </c>
      <c r="C40" s="63" t="str">
        <f aca="false">IF($B40="","",IFERROR(INDEX('Invoice &amp; Delivery Log'!$B$8:$B$157,MATCH($B40,'Invoice &amp; Delivery Log'!$A$8:$A$157,0)),""))</f>
        <v>VEN-010</v>
      </c>
      <c r="D40" s="55" t="str">
        <f aca="false">IF($B40="","",IFERROR(INDEX('Invoice &amp; Delivery Log'!$C$8:$C$157,MATCH($B40,'Invoice &amp; Delivery Log'!$A$8:$A$157,0)),"INVOICE NOT FOUND"))</f>
        <v>Copperfield Textiles</v>
      </c>
      <c r="E40" s="56" t="n">
        <v>46177</v>
      </c>
      <c r="F40" s="58" t="n">
        <v>10842.29</v>
      </c>
      <c r="G40" s="44" t="s">
        <v>483</v>
      </c>
      <c r="H40" s="45" t="s">
        <v>531</v>
      </c>
      <c r="I40" s="45" t="s">
        <v>469</v>
      </c>
      <c r="J40" s="64" t="n">
        <f aca="false">IF($B40="","",IFERROR(INDEX('Invoice &amp; Delivery Log'!$H$8:$H$157,MATCH($B40,'Invoice &amp; Delivery Log'!$A$8:$A$157,0)),""))</f>
        <v>46152</v>
      </c>
      <c r="K40" s="64" t="n">
        <f aca="false">IF($B40="","",IFERROR(INDEX('Invoice &amp; Delivery Log'!$M$8:$M$157,MATCH($B40,'Invoice &amp; Delivery Log'!$A$8:$A$157,0)),""))</f>
        <v>46212</v>
      </c>
      <c r="L40" s="47" t="n">
        <f aca="false">IF(OR($E40="",$J40=""),"",$E40-$J40)</f>
        <v>25</v>
      </c>
      <c r="M40" s="47" t="n">
        <f aca="false">IF(OR($E40="",$K40=""),"",$E40-$K40)</f>
        <v>-35</v>
      </c>
      <c r="N40" s="36" t="str">
        <f aca="false">IF(OR($E40="",$K40=""),"n/a",IF($E40&lt;=$K40,"On Time","Late"))</f>
        <v>On Time</v>
      </c>
      <c r="O40" s="30" t="n">
        <f aca="false">IF($B40="","",SUMIFS($F$8:$F40,$B$8:$B40,$B40))</f>
        <v>10842.29</v>
      </c>
      <c r="P40" s="30" t="n">
        <f aca="false">IF($B40="","",IFERROR(ROUND(INDEX('Invoice &amp; Delivery Log'!$N$8:$N$157,MATCH($B40,'Invoice &amp; Delivery Log'!$A$8:$A$157,0))-$O40,2),""))</f>
        <v>0</v>
      </c>
      <c r="Q40" s="36" t="str">
        <f aca="false">IF($A40="","",IF($R40="","OK","REVIEW"))</f>
        <v>OK</v>
      </c>
      <c r="R40" s="28" t="str">
        <f aca="false">IF($A40="","",TRIM(IF($B40="","Missing invoice ID. ","")&amp;IF(AND($B40&lt;&gt;"",COUNTIFS('Invoice &amp; Delivery Log'!$A$8:$A$157,$B40)=0),"Invoice ID not found in the invoice log. ","")&amp;IF(COUNTIFS('Payments Log'!$A$8:$A$207,$A40)&gt;1,"Duplicate payment ID. ","")&amp;IF(N($F40)&lt;=0,"Payment amount must be greater than zero. ","")&amp;IF($E40="","Missing payment date. ","")&amp;IF(AND($E40&lt;&gt;"",$J40&lt;&gt;"",$E40&lt;$J40),"Payment dated before the invoice date. ","")&amp;IF(AND($E40&lt;&gt;"",$E40&gt;Settings!$C$5),"Payment date is in the future. ","")&amp;IF(ROUND(N($P40),2)&lt;0,"Payment exceeds the invoice balance. ","")&amp;IF($G40="","Missing payment method. ","")))</f>
        <v/>
      </c>
    </row>
    <row r="41" customFormat="false" ht="15" hidden="false" customHeight="true" outlineLevel="0" collapsed="false">
      <c r="A41" s="44" t="s">
        <v>532</v>
      </c>
      <c r="B41" s="44" t="s">
        <v>351</v>
      </c>
      <c r="C41" s="65" t="str">
        <f aca="false">IF($B41="","",IFERROR(INDEX('Invoice &amp; Delivery Log'!$B$8:$B$157,MATCH($B41,'Invoice &amp; Delivery Log'!$A$8:$A$157,0)),""))</f>
        <v>VEN-005</v>
      </c>
      <c r="D41" s="59" t="str">
        <f aca="false">IF($B41="","",IFERROR(INDEX('Invoice &amp; Delivery Log'!$C$8:$C$157,MATCH($B41,'Invoice &amp; Delivery Log'!$A$8:$A$157,0)),"INVOICE NOT FOUND"))</f>
        <v>Summit Cleaning Services</v>
      </c>
      <c r="E41" s="56" t="n">
        <v>46179</v>
      </c>
      <c r="F41" s="58" t="n">
        <v>1862.49</v>
      </c>
      <c r="G41" s="44" t="s">
        <v>476</v>
      </c>
      <c r="H41" s="45" t="s">
        <v>533</v>
      </c>
      <c r="I41" s="45" t="s">
        <v>469</v>
      </c>
      <c r="J41" s="66" t="n">
        <f aca="false">IF($B41="","",IFERROR(INDEX('Invoice &amp; Delivery Log'!$H$8:$H$157,MATCH($B41,'Invoice &amp; Delivery Log'!$A$8:$A$157,0)),""))</f>
        <v>46172</v>
      </c>
      <c r="K41" s="66" t="n">
        <f aca="false">IF($B41="","",IFERROR(INDEX('Invoice &amp; Delivery Log'!$M$8:$M$157,MATCH($B41,'Invoice &amp; Delivery Log'!$A$8:$A$157,0)),""))</f>
        <v>46186</v>
      </c>
      <c r="L41" s="52" t="n">
        <f aca="false">IF(OR($E41="",$J41=""),"",$E41-$J41)</f>
        <v>7</v>
      </c>
      <c r="M41" s="52" t="n">
        <f aca="false">IF(OR($E41="",$K41=""),"",$E41-$K41)</f>
        <v>-7</v>
      </c>
      <c r="N41" s="53" t="str">
        <f aca="false">IF(OR($E41="",$K41=""),"n/a",IF($E41&lt;=$K41,"On Time","Late"))</f>
        <v>On Time</v>
      </c>
      <c r="O41" s="50" t="n">
        <f aca="false">IF($B41="","",SUMIFS($F$8:$F41,$B$8:$B41,$B41))</f>
        <v>1862.49</v>
      </c>
      <c r="P41" s="50" t="n">
        <f aca="false">IF($B41="","",IFERROR(ROUND(INDEX('Invoice &amp; Delivery Log'!$N$8:$N$157,MATCH($B41,'Invoice &amp; Delivery Log'!$A$8:$A$157,0))-$O41,2),""))</f>
        <v>0</v>
      </c>
      <c r="Q41" s="53" t="str">
        <f aca="false">IF($A41="","",IF($R41="","OK","REVIEW"))</f>
        <v>OK</v>
      </c>
      <c r="R41" s="62" t="str">
        <f aca="false">IF($A41="","",TRIM(IF($B41="","Missing invoice ID. ","")&amp;IF(AND($B41&lt;&gt;"",COUNTIFS('Invoice &amp; Delivery Log'!$A$8:$A$157,$B41)=0),"Invoice ID not found in the invoice log. ","")&amp;IF(COUNTIFS('Payments Log'!$A$8:$A$207,$A41)&gt;1,"Duplicate payment ID. ","")&amp;IF(N($F41)&lt;=0,"Payment amount must be greater than zero. ","")&amp;IF($E41="","Missing payment date. ","")&amp;IF(AND($E41&lt;&gt;"",$J41&lt;&gt;"",$E41&lt;$J41),"Payment dated before the invoice date. ","")&amp;IF(AND($E41&lt;&gt;"",$E41&gt;Settings!$C$5),"Payment date is in the future. ","")&amp;IF(ROUND(N($P41),2)&lt;0,"Payment exceeds the invoice balance. ","")&amp;IF($G41="","Missing payment method. ","")))</f>
        <v/>
      </c>
    </row>
    <row r="42" customFormat="false" ht="15" hidden="false" customHeight="true" outlineLevel="0" collapsed="false">
      <c r="A42" s="44" t="s">
        <v>534</v>
      </c>
      <c r="B42" s="44" t="s">
        <v>344</v>
      </c>
      <c r="C42" s="63" t="str">
        <f aca="false">IF($B42="","",IFERROR(INDEX('Invoice &amp; Delivery Log'!$B$8:$B$157,MATCH($B42,'Invoice &amp; Delivery Log'!$A$8:$A$157,0)),""))</f>
        <v>VEN-004</v>
      </c>
      <c r="D42" s="55" t="str">
        <f aca="false">IF($B42="","",IFERROR(INDEX('Invoice &amp; Delivery Log'!$C$8:$C$157,MATCH($B42,'Invoice &amp; Delivery Log'!$A$8:$A$157,0)),"INVOICE NOT FOUND"))</f>
        <v>Lakeshore Packaging Group</v>
      </c>
      <c r="E42" s="56" t="n">
        <v>46181</v>
      </c>
      <c r="F42" s="58" t="n">
        <v>2336.1</v>
      </c>
      <c r="G42" s="44" t="s">
        <v>462</v>
      </c>
      <c r="H42" s="45" t="s">
        <v>535</v>
      </c>
      <c r="I42" s="45" t="s">
        <v>460</v>
      </c>
      <c r="J42" s="64" t="n">
        <f aca="false">IF($B42="","",IFERROR(INDEX('Invoice &amp; Delivery Log'!$H$8:$H$157,MATCH($B42,'Invoice &amp; Delivery Log'!$A$8:$A$157,0)),""))</f>
        <v>46172</v>
      </c>
      <c r="K42" s="64" t="n">
        <f aca="false">IF($B42="","",IFERROR(INDEX('Invoice &amp; Delivery Log'!$M$8:$M$157,MATCH($B42,'Invoice &amp; Delivery Log'!$A$8:$A$157,0)),""))</f>
        <v>46202</v>
      </c>
      <c r="L42" s="47" t="n">
        <f aca="false">IF(OR($E42="",$J42=""),"",$E42-$J42)</f>
        <v>9</v>
      </c>
      <c r="M42" s="47" t="n">
        <f aca="false">IF(OR($E42="",$K42=""),"",$E42-$K42)</f>
        <v>-21</v>
      </c>
      <c r="N42" s="36" t="str">
        <f aca="false">IF(OR($E42="",$K42=""),"n/a",IF($E42&lt;=$K42,"On Time","Late"))</f>
        <v>On Time</v>
      </c>
      <c r="O42" s="30" t="n">
        <f aca="false">IF($B42="","",SUMIFS($F$8:$F42,$B$8:$B42,$B42))</f>
        <v>2336.1</v>
      </c>
      <c r="P42" s="30" t="n">
        <f aca="false">IF($B42="","",IFERROR(ROUND(INDEX('Invoice &amp; Delivery Log'!$N$8:$N$157,MATCH($B42,'Invoice &amp; Delivery Log'!$A$8:$A$157,0))-$O42,2),""))</f>
        <v>2359.48</v>
      </c>
      <c r="Q42" s="36" t="str">
        <f aca="false">IF($A42="","",IF($R42="","OK","REVIEW"))</f>
        <v>OK</v>
      </c>
      <c r="R42" s="28" t="str">
        <f aca="false">IF($A42="","",TRIM(IF($B42="","Missing invoice ID. ","")&amp;IF(AND($B42&lt;&gt;"",COUNTIFS('Invoice &amp; Delivery Log'!$A$8:$A$157,$B42)=0),"Invoice ID not found in the invoice log. ","")&amp;IF(COUNTIFS('Payments Log'!$A$8:$A$207,$A42)&gt;1,"Duplicate payment ID. ","")&amp;IF(N($F42)&lt;=0,"Payment amount must be greater than zero. ","")&amp;IF($E42="","Missing payment date. ","")&amp;IF(AND($E42&lt;&gt;"",$J42&lt;&gt;"",$E42&lt;$J42),"Payment dated before the invoice date. ","")&amp;IF(AND($E42&lt;&gt;"",$E42&gt;Settings!$C$5),"Payment date is in the future. ","")&amp;IF(ROUND(N($P42),2)&lt;0,"Payment exceeds the invoice balance. ","")&amp;IF($G42="","Missing payment method. ","")))</f>
        <v/>
      </c>
    </row>
    <row r="43" customFormat="false" ht="15" hidden="false" customHeight="true" outlineLevel="0" collapsed="false">
      <c r="A43" s="44" t="s">
        <v>536</v>
      </c>
      <c r="B43" s="44" t="s">
        <v>341</v>
      </c>
      <c r="C43" s="65" t="str">
        <f aca="false">IF($B43="","",IFERROR(INDEX('Invoice &amp; Delivery Log'!$B$8:$B$157,MATCH($B43,'Invoice &amp; Delivery Log'!$A$8:$A$157,0)),""))</f>
        <v>VEN-009</v>
      </c>
      <c r="D43" s="59" t="str">
        <f aca="false">IF($B43="","",IFERROR(INDEX('Invoice &amp; Delivery Log'!$C$8:$C$157,MATCH($B43,'Invoice &amp; Delivery Log'!$A$8:$A$157,0)),"INVOICE NOT FOUND"))</f>
        <v>Vertex IT Solutions</v>
      </c>
      <c r="E43" s="56" t="n">
        <v>46183</v>
      </c>
      <c r="F43" s="58" t="n">
        <v>4274.36</v>
      </c>
      <c r="G43" s="44" t="s">
        <v>473</v>
      </c>
      <c r="H43" s="45" t="s">
        <v>537</v>
      </c>
      <c r="I43" s="45" t="s">
        <v>466</v>
      </c>
      <c r="J43" s="66" t="n">
        <f aca="false">IF($B43="","",IFERROR(INDEX('Invoice &amp; Delivery Log'!$H$8:$H$157,MATCH($B43,'Invoice &amp; Delivery Log'!$A$8:$A$157,0)),""))</f>
        <v>46153</v>
      </c>
      <c r="K43" s="66" t="n">
        <f aca="false">IF($B43="","",IFERROR(INDEX('Invoice &amp; Delivery Log'!$M$8:$M$157,MATCH($B43,'Invoice &amp; Delivery Log'!$A$8:$A$157,0)),""))</f>
        <v>46183</v>
      </c>
      <c r="L43" s="52" t="n">
        <f aca="false">IF(OR($E43="",$J43=""),"",$E43-$J43)</f>
        <v>30</v>
      </c>
      <c r="M43" s="52" t="n">
        <f aca="false">IF(OR($E43="",$K43=""),"",$E43-$K43)</f>
        <v>0</v>
      </c>
      <c r="N43" s="53" t="str">
        <f aca="false">IF(OR($E43="",$K43=""),"n/a",IF($E43&lt;=$K43,"On Time","Late"))</f>
        <v>On Time</v>
      </c>
      <c r="O43" s="50" t="n">
        <f aca="false">IF($B43="","",SUMIFS($F$8:$F43,$B$8:$B43,$B43))</f>
        <v>8642.41</v>
      </c>
      <c r="P43" s="50" t="n">
        <f aca="false">IF($B43="","",IFERROR(ROUND(INDEX('Invoice &amp; Delivery Log'!$N$8:$N$157,MATCH($B43,'Invoice &amp; Delivery Log'!$A$8:$A$157,0))-$O43,2),""))</f>
        <v>0</v>
      </c>
      <c r="Q43" s="53" t="str">
        <f aca="false">IF($A43="","",IF($R43="","OK","REVIEW"))</f>
        <v>OK</v>
      </c>
      <c r="R43" s="62" t="str">
        <f aca="false">IF($A43="","",TRIM(IF($B43="","Missing invoice ID. ","")&amp;IF(AND($B43&lt;&gt;"",COUNTIFS('Invoice &amp; Delivery Log'!$A$8:$A$157,$B43)=0),"Invoice ID not found in the invoice log. ","")&amp;IF(COUNTIFS('Payments Log'!$A$8:$A$207,$A43)&gt;1,"Duplicate payment ID. ","")&amp;IF(N($F43)&lt;=0,"Payment amount must be greater than zero. ","")&amp;IF($E43="","Missing payment date. ","")&amp;IF(AND($E43&lt;&gt;"",$J43&lt;&gt;"",$E43&lt;$J43),"Payment dated before the invoice date. ","")&amp;IF(AND($E43&lt;&gt;"",$E43&gt;Settings!$C$5),"Payment date is in the future. ","")&amp;IF(ROUND(N($P43),2)&lt;0,"Payment exceeds the invoice balance. ","")&amp;IF($G43="","Missing payment method. ","")))</f>
        <v/>
      </c>
    </row>
    <row r="44" customFormat="false" ht="15" hidden="false" customHeight="true" outlineLevel="0" collapsed="false">
      <c r="A44" s="44" t="s">
        <v>538</v>
      </c>
      <c r="B44" s="44" t="s">
        <v>354</v>
      </c>
      <c r="C44" s="63" t="str">
        <f aca="false">IF($B44="","",IFERROR(INDEX('Invoice &amp; Delivery Log'!$B$8:$B$157,MATCH($B44,'Invoice &amp; Delivery Log'!$A$8:$A$157,0)),""))</f>
        <v>VEN-002</v>
      </c>
      <c r="D44" s="55" t="str">
        <f aca="false">IF($B44="","",IFERROR(INDEX('Invoice &amp; Delivery Log'!$C$8:$C$157,MATCH($B44,'Invoice &amp; Delivery Log'!$A$8:$A$157,0)),"INVOICE NOT FOUND"))</f>
        <v>Cascade Foods Distribution</v>
      </c>
      <c r="E44" s="56" t="n">
        <v>46183</v>
      </c>
      <c r="F44" s="58" t="n">
        <v>829.81</v>
      </c>
      <c r="G44" s="44" t="s">
        <v>462</v>
      </c>
      <c r="H44" s="45" t="s">
        <v>539</v>
      </c>
      <c r="I44" s="45" t="s">
        <v>460</v>
      </c>
      <c r="J44" s="64" t="n">
        <f aca="false">IF($B44="","",IFERROR(INDEX('Invoice &amp; Delivery Log'!$H$8:$H$157,MATCH($B44,'Invoice &amp; Delivery Log'!$A$8:$A$157,0)),""))</f>
        <v>46178</v>
      </c>
      <c r="K44" s="64" t="n">
        <f aca="false">IF($B44="","",IFERROR(INDEX('Invoice &amp; Delivery Log'!$M$8:$M$157,MATCH($B44,'Invoice &amp; Delivery Log'!$A$8:$A$157,0)),""))</f>
        <v>46193</v>
      </c>
      <c r="L44" s="47" t="n">
        <f aca="false">IF(OR($E44="",$J44=""),"",$E44-$J44)</f>
        <v>5</v>
      </c>
      <c r="M44" s="47" t="n">
        <f aca="false">IF(OR($E44="",$K44=""),"",$E44-$K44)</f>
        <v>-10</v>
      </c>
      <c r="N44" s="36" t="str">
        <f aca="false">IF(OR($E44="",$K44=""),"n/a",IF($E44&lt;=$K44,"On Time","Late"))</f>
        <v>On Time</v>
      </c>
      <c r="O44" s="30" t="n">
        <f aca="false">IF($B44="","",SUMIFS($F$8:$F44,$B$8:$B44,$B44))</f>
        <v>829.81</v>
      </c>
      <c r="P44" s="30" t="n">
        <f aca="false">IF($B44="","",IFERROR(ROUND(INDEX('Invoice &amp; Delivery Log'!$N$8:$N$157,MATCH($B44,'Invoice &amp; Delivery Log'!$A$8:$A$157,0))-$O44,2),""))</f>
        <v>641.28</v>
      </c>
      <c r="Q44" s="36" t="str">
        <f aca="false">IF($A44="","",IF($R44="","OK","REVIEW"))</f>
        <v>OK</v>
      </c>
      <c r="R44" s="28" t="str">
        <f aca="false">IF($A44="","",TRIM(IF($B44="","Missing invoice ID. ","")&amp;IF(AND($B44&lt;&gt;"",COUNTIFS('Invoice &amp; Delivery Log'!$A$8:$A$157,$B44)=0),"Invoice ID not found in the invoice log. ","")&amp;IF(COUNTIFS('Payments Log'!$A$8:$A$207,$A44)&gt;1,"Duplicate payment ID. ","")&amp;IF(N($F44)&lt;=0,"Payment amount must be greater than zero. ","")&amp;IF($E44="","Missing payment date. ","")&amp;IF(AND($E44&lt;&gt;"",$J44&lt;&gt;"",$E44&lt;$J44),"Payment dated before the invoice date. ","")&amp;IF(AND($E44&lt;&gt;"",$E44&gt;Settings!$C$5),"Payment date is in the future. ","")&amp;IF(ROUND(N($P44),2)&lt;0,"Payment exceeds the invoice balance. ","")&amp;IF($G44="","Missing payment method. ","")))</f>
        <v/>
      </c>
    </row>
    <row r="45" customFormat="false" ht="15" hidden="false" customHeight="true" outlineLevel="0" collapsed="false">
      <c r="A45" s="44" t="s">
        <v>540</v>
      </c>
      <c r="B45" s="44" t="s">
        <v>347</v>
      </c>
      <c r="C45" s="65" t="str">
        <f aca="false">IF($B45="","",IFERROR(INDEX('Invoice &amp; Delivery Log'!$B$8:$B$157,MATCH($B45,'Invoice &amp; Delivery Log'!$A$8:$A$157,0)),""))</f>
        <v>VEN-009</v>
      </c>
      <c r="D45" s="59" t="str">
        <f aca="false">IF($B45="","",IFERROR(INDEX('Invoice &amp; Delivery Log'!$C$8:$C$157,MATCH($B45,'Invoice &amp; Delivery Log'!$A$8:$A$157,0)),"INVOICE NOT FOUND"))</f>
        <v>Vertex IT Solutions</v>
      </c>
      <c r="E45" s="56" t="n">
        <v>46187</v>
      </c>
      <c r="F45" s="58" t="n">
        <v>1088.51</v>
      </c>
      <c r="G45" s="44" t="s">
        <v>473</v>
      </c>
      <c r="H45" s="45" t="s">
        <v>541</v>
      </c>
      <c r="I45" s="45" t="s">
        <v>460</v>
      </c>
      <c r="J45" s="66" t="n">
        <f aca="false">IF($B45="","",IFERROR(INDEX('Invoice &amp; Delivery Log'!$H$8:$H$157,MATCH($B45,'Invoice &amp; Delivery Log'!$A$8:$A$157,0)),""))</f>
        <v>46174</v>
      </c>
      <c r="K45" s="66" t="n">
        <f aca="false">IF($B45="","",IFERROR(INDEX('Invoice &amp; Delivery Log'!$M$8:$M$157,MATCH($B45,'Invoice &amp; Delivery Log'!$A$8:$A$157,0)),""))</f>
        <v>46204</v>
      </c>
      <c r="L45" s="52" t="n">
        <f aca="false">IF(OR($E45="",$J45=""),"",$E45-$J45)</f>
        <v>13</v>
      </c>
      <c r="M45" s="52" t="n">
        <f aca="false">IF(OR($E45="",$K45=""),"",$E45-$K45)</f>
        <v>-17</v>
      </c>
      <c r="N45" s="53" t="str">
        <f aca="false">IF(OR($E45="",$K45=""),"n/a",IF($E45&lt;=$K45,"On Time","Late"))</f>
        <v>On Time</v>
      </c>
      <c r="O45" s="50" t="n">
        <f aca="false">IF($B45="","",SUMIFS($F$8:$F45,$B$8:$B45,$B45))</f>
        <v>1088.51</v>
      </c>
      <c r="P45" s="50" t="n">
        <f aca="false">IF($B45="","",IFERROR(ROUND(INDEX('Invoice &amp; Delivery Log'!$N$8:$N$157,MATCH($B45,'Invoice &amp; Delivery Log'!$A$8:$A$157,0))-$O45,2),""))</f>
        <v>1010.83</v>
      </c>
      <c r="Q45" s="53" t="str">
        <f aca="false">IF($A45="","",IF($R45="","OK","REVIEW"))</f>
        <v>OK</v>
      </c>
      <c r="R45" s="62" t="str">
        <f aca="false">IF($A45="","",TRIM(IF($B45="","Missing invoice ID. ","")&amp;IF(AND($B45&lt;&gt;"",COUNTIFS('Invoice &amp; Delivery Log'!$A$8:$A$157,$B45)=0),"Invoice ID not found in the invoice log. ","")&amp;IF(COUNTIFS('Payments Log'!$A$8:$A$207,$A45)&gt;1,"Duplicate payment ID. ","")&amp;IF(N($F45)&lt;=0,"Payment amount must be greater than zero. ","")&amp;IF($E45="","Missing payment date. ","")&amp;IF(AND($E45&lt;&gt;"",$J45&lt;&gt;"",$E45&lt;$J45),"Payment dated before the invoice date. ","")&amp;IF(AND($E45&lt;&gt;"",$E45&gt;Settings!$C$5),"Payment date is in the future. ","")&amp;IF(ROUND(N($P45),2)&lt;0,"Payment exceeds the invoice balance. ","")&amp;IF($G45="","Missing payment method. ","")))</f>
        <v/>
      </c>
    </row>
    <row r="46" customFormat="false" ht="15" hidden="false" customHeight="true" outlineLevel="0" collapsed="false">
      <c r="A46" s="44" t="s">
        <v>542</v>
      </c>
      <c r="B46" s="44" t="s">
        <v>357</v>
      </c>
      <c r="C46" s="63" t="str">
        <f aca="false">IF($B46="","",IFERROR(INDEX('Invoice &amp; Delivery Log'!$B$8:$B$157,MATCH($B46,'Invoice &amp; Delivery Log'!$A$8:$A$157,0)),""))</f>
        <v>VEN-004</v>
      </c>
      <c r="D46" s="55" t="str">
        <f aca="false">IF($B46="","",IFERROR(INDEX('Invoice &amp; Delivery Log'!$C$8:$C$157,MATCH($B46,'Invoice &amp; Delivery Log'!$A$8:$A$157,0)),"INVOICE NOT FOUND"))</f>
        <v>Lakeshore Packaging Group</v>
      </c>
      <c r="E46" s="56" t="n">
        <v>46188</v>
      </c>
      <c r="F46" s="58" t="n">
        <v>3889.45</v>
      </c>
      <c r="G46" s="44" t="s">
        <v>473</v>
      </c>
      <c r="H46" s="45" t="s">
        <v>543</v>
      </c>
      <c r="I46" s="45" t="s">
        <v>460</v>
      </c>
      <c r="J46" s="64" t="n">
        <f aca="false">IF($B46="","",IFERROR(INDEX('Invoice &amp; Delivery Log'!$H$8:$H$157,MATCH($B46,'Invoice &amp; Delivery Log'!$A$8:$A$157,0)),""))</f>
        <v>46178</v>
      </c>
      <c r="K46" s="64" t="n">
        <f aca="false">IF($B46="","",IFERROR(INDEX('Invoice &amp; Delivery Log'!$M$8:$M$157,MATCH($B46,'Invoice &amp; Delivery Log'!$A$8:$A$157,0)),""))</f>
        <v>46208</v>
      </c>
      <c r="L46" s="47" t="n">
        <f aca="false">IF(OR($E46="",$J46=""),"",$E46-$J46)</f>
        <v>10</v>
      </c>
      <c r="M46" s="47" t="n">
        <f aca="false">IF(OR($E46="",$K46=""),"",$E46-$K46)</f>
        <v>-20</v>
      </c>
      <c r="N46" s="36" t="str">
        <f aca="false">IF(OR($E46="",$K46=""),"n/a",IF($E46&lt;=$K46,"On Time","Late"))</f>
        <v>On Time</v>
      </c>
      <c r="O46" s="30" t="n">
        <f aca="false">IF($B46="","",SUMIFS($F$8:$F46,$B$8:$B46,$B46))</f>
        <v>3889.45</v>
      </c>
      <c r="P46" s="30" t="n">
        <f aca="false">IF($B46="","",IFERROR(ROUND(INDEX('Invoice &amp; Delivery Log'!$N$8:$N$157,MATCH($B46,'Invoice &amp; Delivery Log'!$A$8:$A$157,0))-$O46,2),""))</f>
        <v>3017.65</v>
      </c>
      <c r="Q46" s="36" t="str">
        <f aca="false">IF($A46="","",IF($R46="","OK","REVIEW"))</f>
        <v>OK</v>
      </c>
      <c r="R46" s="28" t="str">
        <f aca="false">IF($A46="","",TRIM(IF($B46="","Missing invoice ID. ","")&amp;IF(AND($B46&lt;&gt;"",COUNTIFS('Invoice &amp; Delivery Log'!$A$8:$A$157,$B46)=0),"Invoice ID not found in the invoice log. ","")&amp;IF(COUNTIFS('Payments Log'!$A$8:$A$207,$A46)&gt;1,"Duplicate payment ID. ","")&amp;IF(N($F46)&lt;=0,"Payment amount must be greater than zero. ","")&amp;IF($E46="","Missing payment date. ","")&amp;IF(AND($E46&lt;&gt;"",$J46&lt;&gt;"",$E46&lt;$J46),"Payment dated before the invoice date. ","")&amp;IF(AND($E46&lt;&gt;"",$E46&gt;Settings!$C$5),"Payment date is in the future. ","")&amp;IF(ROUND(N($P46),2)&lt;0,"Payment exceeds the invoice balance. ","")&amp;IF($G46="","Missing payment method. ","")))</f>
        <v/>
      </c>
    </row>
    <row r="47" customFormat="false" ht="15" hidden="false" customHeight="true" outlineLevel="0" collapsed="false">
      <c r="A47" s="44" t="s">
        <v>544</v>
      </c>
      <c r="B47" s="44" t="s">
        <v>361</v>
      </c>
      <c r="C47" s="65" t="str">
        <f aca="false">IF($B47="","",IFERROR(INDEX('Invoice &amp; Delivery Log'!$B$8:$B$157,MATCH($B47,'Invoice &amp; Delivery Log'!$A$8:$A$157,0)),""))</f>
        <v>VEN-007</v>
      </c>
      <c r="D47" s="59" t="str">
        <f aca="false">IF($B47="","",IFERROR(INDEX('Invoice &amp; Delivery Log'!$C$8:$C$157,MATCH($B47,'Invoice &amp; Delivery Log'!$A$8:$A$157,0)),"INVOICE NOT FOUND"))</f>
        <v>Bluepoint Electrical Supply</v>
      </c>
      <c r="E47" s="56" t="n">
        <v>46191</v>
      </c>
      <c r="F47" s="58" t="n">
        <v>1655.25</v>
      </c>
      <c r="G47" s="44" t="s">
        <v>473</v>
      </c>
      <c r="H47" s="45" t="s">
        <v>545</v>
      </c>
      <c r="I47" s="45" t="s">
        <v>469</v>
      </c>
      <c r="J47" s="66" t="n">
        <f aca="false">IF($B47="","",IFERROR(INDEX('Invoice &amp; Delivery Log'!$H$8:$H$157,MATCH($B47,'Invoice &amp; Delivery Log'!$A$8:$A$157,0)),""))</f>
        <v>46178</v>
      </c>
      <c r="K47" s="66" t="n">
        <f aca="false">IF($B47="","",IFERROR(INDEX('Invoice &amp; Delivery Log'!$M$8:$M$157,MATCH($B47,'Invoice &amp; Delivery Log'!$A$8:$A$157,0)),""))</f>
        <v>46208</v>
      </c>
      <c r="L47" s="52" t="n">
        <f aca="false">IF(OR($E47="",$J47=""),"",$E47-$J47)</f>
        <v>13</v>
      </c>
      <c r="M47" s="52" t="n">
        <f aca="false">IF(OR($E47="",$K47=""),"",$E47-$K47)</f>
        <v>-17</v>
      </c>
      <c r="N47" s="53" t="str">
        <f aca="false">IF(OR($E47="",$K47=""),"n/a",IF($E47&lt;=$K47,"On Time","Late"))</f>
        <v>On Time</v>
      </c>
      <c r="O47" s="50" t="n">
        <f aca="false">IF($B47="","",SUMIFS($F$8:$F47,$B$8:$B47,$B47))</f>
        <v>1655.25</v>
      </c>
      <c r="P47" s="50" t="n">
        <f aca="false">IF($B47="","",IFERROR(ROUND(INDEX('Invoice &amp; Delivery Log'!$N$8:$N$157,MATCH($B47,'Invoice &amp; Delivery Log'!$A$8:$A$157,0))-$O47,2),""))</f>
        <v>0</v>
      </c>
      <c r="Q47" s="53" t="str">
        <f aca="false">IF($A47="","",IF($R47="","OK","REVIEW"))</f>
        <v>OK</v>
      </c>
      <c r="R47" s="62" t="str">
        <f aca="false">IF($A47="","",TRIM(IF($B47="","Missing invoice ID. ","")&amp;IF(AND($B47&lt;&gt;"",COUNTIFS('Invoice &amp; Delivery Log'!$A$8:$A$157,$B47)=0),"Invoice ID not found in the invoice log. ","")&amp;IF(COUNTIFS('Payments Log'!$A$8:$A$207,$A47)&gt;1,"Duplicate payment ID. ","")&amp;IF(N($F47)&lt;=0,"Payment amount must be greater than zero. ","")&amp;IF($E47="","Missing payment date. ","")&amp;IF(AND($E47&lt;&gt;"",$J47&lt;&gt;"",$E47&lt;$J47),"Payment dated before the invoice date. ","")&amp;IF(AND($E47&lt;&gt;"",$E47&gt;Settings!$C$5),"Payment date is in the future. ","")&amp;IF(ROUND(N($P47),2)&lt;0,"Payment exceeds the invoice balance. ","")&amp;IF($G47="","Missing payment method. ","")))</f>
        <v/>
      </c>
    </row>
    <row r="48" customFormat="false" ht="15" hidden="false" customHeight="true" outlineLevel="0" collapsed="false">
      <c r="A48" s="44" t="s">
        <v>546</v>
      </c>
      <c r="B48" s="44" t="s">
        <v>344</v>
      </c>
      <c r="C48" s="63" t="str">
        <f aca="false">IF($B48="","",IFERROR(INDEX('Invoice &amp; Delivery Log'!$B$8:$B$157,MATCH($B48,'Invoice &amp; Delivery Log'!$A$8:$A$157,0)),""))</f>
        <v>VEN-004</v>
      </c>
      <c r="D48" s="55" t="str">
        <f aca="false">IF($B48="","",IFERROR(INDEX('Invoice &amp; Delivery Log'!$C$8:$C$157,MATCH($B48,'Invoice &amp; Delivery Log'!$A$8:$A$157,0)),"INVOICE NOT FOUND"))</f>
        <v>Lakeshore Packaging Group</v>
      </c>
      <c r="E48" s="56" t="n">
        <v>46192</v>
      </c>
      <c r="F48" s="58" t="n">
        <v>2359.48</v>
      </c>
      <c r="G48" s="44" t="s">
        <v>476</v>
      </c>
      <c r="H48" s="45" t="s">
        <v>547</v>
      </c>
      <c r="I48" s="45" t="s">
        <v>466</v>
      </c>
      <c r="J48" s="64" t="n">
        <f aca="false">IF($B48="","",IFERROR(INDEX('Invoice &amp; Delivery Log'!$H$8:$H$157,MATCH($B48,'Invoice &amp; Delivery Log'!$A$8:$A$157,0)),""))</f>
        <v>46172</v>
      </c>
      <c r="K48" s="64" t="n">
        <f aca="false">IF($B48="","",IFERROR(INDEX('Invoice &amp; Delivery Log'!$M$8:$M$157,MATCH($B48,'Invoice &amp; Delivery Log'!$A$8:$A$157,0)),""))</f>
        <v>46202</v>
      </c>
      <c r="L48" s="47" t="n">
        <f aca="false">IF(OR($E48="",$J48=""),"",$E48-$J48)</f>
        <v>20</v>
      </c>
      <c r="M48" s="47" t="n">
        <f aca="false">IF(OR($E48="",$K48=""),"",$E48-$K48)</f>
        <v>-10</v>
      </c>
      <c r="N48" s="36" t="str">
        <f aca="false">IF(OR($E48="",$K48=""),"n/a",IF($E48&lt;=$K48,"On Time","Late"))</f>
        <v>On Time</v>
      </c>
      <c r="O48" s="30" t="n">
        <f aca="false">IF($B48="","",SUMIFS($F$8:$F48,$B$8:$B48,$B48))</f>
        <v>4695.58</v>
      </c>
      <c r="P48" s="30" t="n">
        <f aca="false">IF($B48="","",IFERROR(ROUND(INDEX('Invoice &amp; Delivery Log'!$N$8:$N$157,MATCH($B48,'Invoice &amp; Delivery Log'!$A$8:$A$157,0))-$O48,2),""))</f>
        <v>0</v>
      </c>
      <c r="Q48" s="36" t="str">
        <f aca="false">IF($A48="","",IF($R48="","OK","REVIEW"))</f>
        <v>OK</v>
      </c>
      <c r="R48" s="28" t="str">
        <f aca="false">IF($A48="","",TRIM(IF($B48="","Missing invoice ID. ","")&amp;IF(AND($B48&lt;&gt;"",COUNTIFS('Invoice &amp; Delivery Log'!$A$8:$A$157,$B48)=0),"Invoice ID not found in the invoice log. ","")&amp;IF(COUNTIFS('Payments Log'!$A$8:$A$207,$A48)&gt;1,"Duplicate payment ID. ","")&amp;IF(N($F48)&lt;=0,"Payment amount must be greater than zero. ","")&amp;IF($E48="","Missing payment date. ","")&amp;IF(AND($E48&lt;&gt;"",$J48&lt;&gt;"",$E48&lt;$J48),"Payment dated before the invoice date. ","")&amp;IF(AND($E48&lt;&gt;"",$E48&gt;Settings!$C$5),"Payment date is in the future. ","")&amp;IF(ROUND(N($P48),2)&lt;0,"Payment exceeds the invoice balance. ","")&amp;IF($G48="","Missing payment method. ","")))</f>
        <v/>
      </c>
    </row>
    <row r="49" customFormat="false" ht="15" hidden="false" customHeight="true" outlineLevel="0" collapsed="false">
      <c r="A49" s="44" t="s">
        <v>548</v>
      </c>
      <c r="B49" s="44" t="s">
        <v>331</v>
      </c>
      <c r="C49" s="65" t="str">
        <f aca="false">IF($B49="","",IFERROR(INDEX('Invoice &amp; Delivery Log'!$B$8:$B$157,MATCH($B49,'Invoice &amp; Delivery Log'!$A$8:$A$157,0)),""))</f>
        <v>VEN-010</v>
      </c>
      <c r="D49" s="59" t="str">
        <f aca="false">IF($B49="","",IFERROR(INDEX('Invoice &amp; Delivery Log'!$C$8:$C$157,MATCH($B49,'Invoice &amp; Delivery Log'!$A$8:$A$157,0)),"INVOICE NOT FOUND"))</f>
        <v>Copperfield Textiles</v>
      </c>
      <c r="E49" s="56" t="n">
        <v>46197</v>
      </c>
      <c r="F49" s="58" t="n">
        <v>4959.04</v>
      </c>
      <c r="G49" s="44" t="s">
        <v>458</v>
      </c>
      <c r="H49" s="45" t="s">
        <v>549</v>
      </c>
      <c r="I49" s="45" t="s">
        <v>469</v>
      </c>
      <c r="J49" s="66" t="n">
        <f aca="false">IF($B49="","",IFERROR(INDEX('Invoice &amp; Delivery Log'!$H$8:$H$157,MATCH($B49,'Invoice &amp; Delivery Log'!$A$8:$A$157,0)),""))</f>
        <v>46146</v>
      </c>
      <c r="K49" s="66" t="n">
        <f aca="false">IF($B49="","",IFERROR(INDEX('Invoice &amp; Delivery Log'!$M$8:$M$157,MATCH($B49,'Invoice &amp; Delivery Log'!$A$8:$A$157,0)),""))</f>
        <v>46206</v>
      </c>
      <c r="L49" s="52" t="n">
        <f aca="false">IF(OR($E49="",$J49=""),"",$E49-$J49)</f>
        <v>51</v>
      </c>
      <c r="M49" s="52" t="n">
        <f aca="false">IF(OR($E49="",$K49=""),"",$E49-$K49)</f>
        <v>-9</v>
      </c>
      <c r="N49" s="53" t="str">
        <f aca="false">IF(OR($E49="",$K49=""),"n/a",IF($E49&lt;=$K49,"On Time","Late"))</f>
        <v>On Time</v>
      </c>
      <c r="O49" s="50" t="n">
        <f aca="false">IF($B49="","",SUMIFS($F$8:$F49,$B$8:$B49,$B49))</f>
        <v>4959.04</v>
      </c>
      <c r="P49" s="50" t="n">
        <f aca="false">IF($B49="","",IFERROR(ROUND(INDEX('Invoice &amp; Delivery Log'!$N$8:$N$157,MATCH($B49,'Invoice &amp; Delivery Log'!$A$8:$A$157,0))-$O49,2),""))</f>
        <v>0</v>
      </c>
      <c r="Q49" s="53" t="str">
        <f aca="false">IF($A49="","",IF($R49="","OK","REVIEW"))</f>
        <v>OK</v>
      </c>
      <c r="R49" s="62" t="str">
        <f aca="false">IF($A49="","",TRIM(IF($B49="","Missing invoice ID. ","")&amp;IF(AND($B49&lt;&gt;"",COUNTIFS('Invoice &amp; Delivery Log'!$A$8:$A$157,$B49)=0),"Invoice ID not found in the invoice log. ","")&amp;IF(COUNTIFS('Payments Log'!$A$8:$A$207,$A49)&gt;1,"Duplicate payment ID. ","")&amp;IF(N($F49)&lt;=0,"Payment amount must be greater than zero. ","")&amp;IF($E49="","Missing payment date. ","")&amp;IF(AND($E49&lt;&gt;"",$J49&lt;&gt;"",$E49&lt;$J49),"Payment dated before the invoice date. ","")&amp;IF(AND($E49&lt;&gt;"",$E49&gt;Settings!$C$5),"Payment date is in the future. ","")&amp;IF(ROUND(N($P49),2)&lt;0,"Payment exceeds the invoice balance. ","")&amp;IF($G49="","Missing payment method. ","")))</f>
        <v/>
      </c>
    </row>
    <row r="50" customFormat="false" ht="15" hidden="false" customHeight="true" outlineLevel="0" collapsed="false">
      <c r="A50" s="44" t="s">
        <v>550</v>
      </c>
      <c r="B50" s="44" t="s">
        <v>368</v>
      </c>
      <c r="C50" s="63" t="str">
        <f aca="false">IF($B50="","",IFERROR(INDEX('Invoice &amp; Delivery Log'!$B$8:$B$157,MATCH($B50,'Invoice &amp; Delivery Log'!$A$8:$A$157,0)),""))</f>
        <v>VEN-005</v>
      </c>
      <c r="D50" s="55" t="str">
        <f aca="false">IF($B50="","",IFERROR(INDEX('Invoice &amp; Delivery Log'!$C$8:$C$157,MATCH($B50,'Invoice &amp; Delivery Log'!$A$8:$A$157,0)),"INVOICE NOT FOUND"))</f>
        <v>Summit Cleaning Services</v>
      </c>
      <c r="E50" s="56" t="n">
        <v>46201</v>
      </c>
      <c r="F50" s="58" t="n">
        <v>1862.04</v>
      </c>
      <c r="G50" s="44" t="s">
        <v>483</v>
      </c>
      <c r="H50" s="45" t="s">
        <v>551</v>
      </c>
      <c r="I50" s="45" t="s">
        <v>469</v>
      </c>
      <c r="J50" s="64" t="n">
        <f aca="false">IF($B50="","",IFERROR(INDEX('Invoice &amp; Delivery Log'!$H$8:$H$157,MATCH($B50,'Invoice &amp; Delivery Log'!$A$8:$A$157,0)),""))</f>
        <v>46195</v>
      </c>
      <c r="K50" s="64" t="n">
        <f aca="false">IF($B50="","",IFERROR(INDEX('Invoice &amp; Delivery Log'!$M$8:$M$157,MATCH($B50,'Invoice &amp; Delivery Log'!$A$8:$A$157,0)),""))</f>
        <v>46209</v>
      </c>
      <c r="L50" s="47" t="n">
        <f aca="false">IF(OR($E50="",$J50=""),"",$E50-$J50)</f>
        <v>6</v>
      </c>
      <c r="M50" s="47" t="n">
        <f aca="false">IF(OR($E50="",$K50=""),"",$E50-$K50)</f>
        <v>-8</v>
      </c>
      <c r="N50" s="36" t="str">
        <f aca="false">IF(OR($E50="",$K50=""),"n/a",IF($E50&lt;=$K50,"On Time","Late"))</f>
        <v>On Time</v>
      </c>
      <c r="O50" s="30" t="n">
        <f aca="false">IF($B50="","",SUMIFS($F$8:$F50,$B$8:$B50,$B50))</f>
        <v>1862.04</v>
      </c>
      <c r="P50" s="30" t="n">
        <f aca="false">IF($B50="","",IFERROR(ROUND(INDEX('Invoice &amp; Delivery Log'!$N$8:$N$157,MATCH($B50,'Invoice &amp; Delivery Log'!$A$8:$A$157,0))-$O50,2),""))</f>
        <v>0</v>
      </c>
      <c r="Q50" s="36" t="str">
        <f aca="false">IF($A50="","",IF($R50="","OK","REVIEW"))</f>
        <v>OK</v>
      </c>
      <c r="R50" s="28" t="str">
        <f aca="false">IF($A50="","",TRIM(IF($B50="","Missing invoice ID. ","")&amp;IF(AND($B50&lt;&gt;"",COUNTIFS('Invoice &amp; Delivery Log'!$A$8:$A$157,$B50)=0),"Invoice ID not found in the invoice log. ","")&amp;IF(COUNTIFS('Payments Log'!$A$8:$A$207,$A50)&gt;1,"Duplicate payment ID. ","")&amp;IF(N($F50)&lt;=0,"Payment amount must be greater than zero. ","")&amp;IF($E50="","Missing payment date. ","")&amp;IF(AND($E50&lt;&gt;"",$J50&lt;&gt;"",$E50&lt;$J50),"Payment dated before the invoice date. ","")&amp;IF(AND($E50&lt;&gt;"",$E50&gt;Settings!$C$5),"Payment date is in the future. ","")&amp;IF(ROUND(N($P50),2)&lt;0,"Payment exceeds the invoice balance. ","")&amp;IF($G50="","Missing payment method. ","")))</f>
        <v/>
      </c>
    </row>
    <row r="51" customFormat="false" ht="15" hidden="false" customHeight="true" outlineLevel="0" collapsed="false">
      <c r="A51" s="44" t="s">
        <v>552</v>
      </c>
      <c r="B51" s="44" t="s">
        <v>364</v>
      </c>
      <c r="C51" s="65" t="str">
        <f aca="false">IF($B51="","",IFERROR(INDEX('Invoice &amp; Delivery Log'!$B$8:$B$157,MATCH($B51,'Invoice &amp; Delivery Log'!$A$8:$A$157,0)),""))</f>
        <v>VEN-004</v>
      </c>
      <c r="D51" s="59" t="str">
        <f aca="false">IF($B51="","",IFERROR(INDEX('Invoice &amp; Delivery Log'!$C$8:$C$157,MATCH($B51,'Invoice &amp; Delivery Log'!$A$8:$A$157,0)),"INVOICE NOT FOUND"))</f>
        <v>Lakeshore Packaging Group</v>
      </c>
      <c r="E51" s="56" t="n">
        <v>46202</v>
      </c>
      <c r="F51" s="58" t="n">
        <v>2472.37</v>
      </c>
      <c r="G51" s="44" t="s">
        <v>483</v>
      </c>
      <c r="H51" s="45" t="s">
        <v>553</v>
      </c>
      <c r="I51" s="45" t="s">
        <v>460</v>
      </c>
      <c r="J51" s="66" t="n">
        <f aca="false">IF($B51="","",IFERROR(INDEX('Invoice &amp; Delivery Log'!$H$8:$H$157,MATCH($B51,'Invoice &amp; Delivery Log'!$A$8:$A$157,0)),""))</f>
        <v>46189</v>
      </c>
      <c r="K51" s="66" t="n">
        <f aca="false">IF($B51="","",IFERROR(INDEX('Invoice &amp; Delivery Log'!$M$8:$M$157,MATCH($B51,'Invoice &amp; Delivery Log'!$A$8:$A$157,0)),""))</f>
        <v>46219</v>
      </c>
      <c r="L51" s="52" t="n">
        <f aca="false">IF(OR($E51="",$J51=""),"",$E51-$J51)</f>
        <v>13</v>
      </c>
      <c r="M51" s="52" t="n">
        <f aca="false">IF(OR($E51="",$K51=""),"",$E51-$K51)</f>
        <v>-17</v>
      </c>
      <c r="N51" s="53" t="str">
        <f aca="false">IF(OR($E51="",$K51=""),"n/a",IF($E51&lt;=$K51,"On Time","Late"))</f>
        <v>On Time</v>
      </c>
      <c r="O51" s="50" t="n">
        <f aca="false">IF($B51="","",SUMIFS($F$8:$F51,$B$8:$B51,$B51))</f>
        <v>2472.37</v>
      </c>
      <c r="P51" s="50" t="n">
        <f aca="false">IF($B51="","",IFERROR(ROUND(INDEX('Invoice &amp; Delivery Log'!$N$8:$N$157,MATCH($B51,'Invoice &amp; Delivery Log'!$A$8:$A$157,0))-$O51,2),""))</f>
        <v>1941.11</v>
      </c>
      <c r="Q51" s="53" t="str">
        <f aca="false">IF($A51="","",IF($R51="","OK","REVIEW"))</f>
        <v>OK</v>
      </c>
      <c r="R51" s="62" t="str">
        <f aca="false">IF($A51="","",TRIM(IF($B51="","Missing invoice ID. ","")&amp;IF(AND($B51&lt;&gt;"",COUNTIFS('Invoice &amp; Delivery Log'!$A$8:$A$157,$B51)=0),"Invoice ID not found in the invoice log. ","")&amp;IF(COUNTIFS('Payments Log'!$A$8:$A$207,$A51)&gt;1,"Duplicate payment ID. ","")&amp;IF(N($F51)&lt;=0,"Payment amount must be greater than zero. ","")&amp;IF($E51="","Missing payment date. ","")&amp;IF(AND($E51&lt;&gt;"",$J51&lt;&gt;"",$E51&lt;$J51),"Payment dated before the invoice date. ","")&amp;IF(AND($E51&lt;&gt;"",$E51&gt;Settings!$C$5),"Payment date is in the future. ","")&amp;IF(ROUND(N($P51),2)&lt;0,"Payment exceeds the invoice balance. ","")&amp;IF($G51="","Missing payment method. ","")))</f>
        <v/>
      </c>
    </row>
    <row r="52" customFormat="false" ht="15" hidden="false" customHeight="true" outlineLevel="0" collapsed="false">
      <c r="A52" s="44" t="s">
        <v>554</v>
      </c>
      <c r="B52" s="44" t="s">
        <v>357</v>
      </c>
      <c r="C52" s="63" t="str">
        <f aca="false">IF($B52="","",IFERROR(INDEX('Invoice &amp; Delivery Log'!$B$8:$B$157,MATCH($B52,'Invoice &amp; Delivery Log'!$A$8:$A$157,0)),""))</f>
        <v>VEN-004</v>
      </c>
      <c r="D52" s="55" t="str">
        <f aca="false">IF($B52="","",IFERROR(INDEX('Invoice &amp; Delivery Log'!$C$8:$C$157,MATCH($B52,'Invoice &amp; Delivery Log'!$A$8:$A$157,0)),"INVOICE NOT FOUND"))</f>
        <v>Lakeshore Packaging Group</v>
      </c>
      <c r="E52" s="56" t="n">
        <v>46204</v>
      </c>
      <c r="F52" s="58" t="n">
        <v>3017.65</v>
      </c>
      <c r="G52" s="44" t="s">
        <v>483</v>
      </c>
      <c r="H52" s="45" t="s">
        <v>555</v>
      </c>
      <c r="I52" s="45" t="s">
        <v>466</v>
      </c>
      <c r="J52" s="64" t="n">
        <f aca="false">IF($B52="","",IFERROR(INDEX('Invoice &amp; Delivery Log'!$H$8:$H$157,MATCH($B52,'Invoice &amp; Delivery Log'!$A$8:$A$157,0)),""))</f>
        <v>46178</v>
      </c>
      <c r="K52" s="64" t="n">
        <f aca="false">IF($B52="","",IFERROR(INDEX('Invoice &amp; Delivery Log'!$M$8:$M$157,MATCH($B52,'Invoice &amp; Delivery Log'!$A$8:$A$157,0)),""))</f>
        <v>46208</v>
      </c>
      <c r="L52" s="47" t="n">
        <f aca="false">IF(OR($E52="",$J52=""),"",$E52-$J52)</f>
        <v>26</v>
      </c>
      <c r="M52" s="47" t="n">
        <f aca="false">IF(OR($E52="",$K52=""),"",$E52-$K52)</f>
        <v>-4</v>
      </c>
      <c r="N52" s="36" t="str">
        <f aca="false">IF(OR($E52="",$K52=""),"n/a",IF($E52&lt;=$K52,"On Time","Late"))</f>
        <v>On Time</v>
      </c>
      <c r="O52" s="30" t="n">
        <f aca="false">IF($B52="","",SUMIFS($F$8:$F52,$B$8:$B52,$B52))</f>
        <v>6907.1</v>
      </c>
      <c r="P52" s="30" t="n">
        <f aca="false">IF($B52="","",IFERROR(ROUND(INDEX('Invoice &amp; Delivery Log'!$N$8:$N$157,MATCH($B52,'Invoice &amp; Delivery Log'!$A$8:$A$157,0))-$O52,2),""))</f>
        <v>0</v>
      </c>
      <c r="Q52" s="36" t="str">
        <f aca="false">IF($A52="","",IF($R52="","OK","REVIEW"))</f>
        <v>OK</v>
      </c>
      <c r="R52" s="28" t="str">
        <f aca="false">IF($A52="","",TRIM(IF($B52="","Missing invoice ID. ","")&amp;IF(AND($B52&lt;&gt;"",COUNTIFS('Invoice &amp; Delivery Log'!$A$8:$A$157,$B52)=0),"Invoice ID not found in the invoice log. ","")&amp;IF(COUNTIFS('Payments Log'!$A$8:$A$207,$A52)&gt;1,"Duplicate payment ID. ","")&amp;IF(N($F52)&lt;=0,"Payment amount must be greater than zero. ","")&amp;IF($E52="","Missing payment date. ","")&amp;IF(AND($E52&lt;&gt;"",$J52&lt;&gt;"",$E52&lt;$J52),"Payment dated before the invoice date. ","")&amp;IF(AND($E52&lt;&gt;"",$E52&gt;Settings!$C$5),"Payment date is in the future. ","")&amp;IF(ROUND(N($P52),2)&lt;0,"Payment exceeds the invoice balance. ","")&amp;IF($G52="","Missing payment method. ","")))</f>
        <v/>
      </c>
    </row>
    <row r="53" customFormat="false" ht="15" hidden="false" customHeight="true" outlineLevel="0" collapsed="false">
      <c r="A53" s="44" t="s">
        <v>556</v>
      </c>
      <c r="B53" s="44" t="s">
        <v>371</v>
      </c>
      <c r="C53" s="65" t="str">
        <f aca="false">IF($B53="","",IFERROR(INDEX('Invoice &amp; Delivery Log'!$B$8:$B$157,MATCH($B53,'Invoice &amp; Delivery Log'!$A$8:$A$157,0)),""))</f>
        <v>VEN-005</v>
      </c>
      <c r="D53" s="59" t="str">
        <f aca="false">IF($B53="","",IFERROR(INDEX('Invoice &amp; Delivery Log'!$C$8:$C$157,MATCH($B53,'Invoice &amp; Delivery Log'!$A$8:$A$157,0)),"INVOICE NOT FOUND"))</f>
        <v>Summit Cleaning Services</v>
      </c>
      <c r="E53" s="56" t="n">
        <v>46205</v>
      </c>
      <c r="F53" s="58" t="n">
        <v>1920.16</v>
      </c>
      <c r="G53" s="44" t="s">
        <v>462</v>
      </c>
      <c r="H53" s="45" t="s">
        <v>557</v>
      </c>
      <c r="I53" s="45" t="s">
        <v>469</v>
      </c>
      <c r="J53" s="66" t="n">
        <f aca="false">IF($B53="","",IFERROR(INDEX('Invoice &amp; Delivery Log'!$H$8:$H$157,MATCH($B53,'Invoice &amp; Delivery Log'!$A$8:$A$157,0)),""))</f>
        <v>46202</v>
      </c>
      <c r="K53" s="66" t="n">
        <f aca="false">IF($B53="","",IFERROR(INDEX('Invoice &amp; Delivery Log'!$M$8:$M$157,MATCH($B53,'Invoice &amp; Delivery Log'!$A$8:$A$157,0)),""))</f>
        <v>46216</v>
      </c>
      <c r="L53" s="52" t="n">
        <f aca="false">IF(OR($E53="",$J53=""),"",$E53-$J53)</f>
        <v>3</v>
      </c>
      <c r="M53" s="52" t="n">
        <f aca="false">IF(OR($E53="",$K53=""),"",$E53-$K53)</f>
        <v>-11</v>
      </c>
      <c r="N53" s="53" t="str">
        <f aca="false">IF(OR($E53="",$K53=""),"n/a",IF($E53&lt;=$K53,"On Time","Late"))</f>
        <v>On Time</v>
      </c>
      <c r="O53" s="50" t="n">
        <f aca="false">IF($B53="","",SUMIFS($F$8:$F53,$B$8:$B53,$B53))</f>
        <v>1920.16</v>
      </c>
      <c r="P53" s="50" t="n">
        <f aca="false">IF($B53="","",IFERROR(ROUND(INDEX('Invoice &amp; Delivery Log'!$N$8:$N$157,MATCH($B53,'Invoice &amp; Delivery Log'!$A$8:$A$157,0))-$O53,2),""))</f>
        <v>0</v>
      </c>
      <c r="Q53" s="53" t="str">
        <f aca="false">IF($A53="","",IF($R53="","OK","REVIEW"))</f>
        <v>OK</v>
      </c>
      <c r="R53" s="62" t="str">
        <f aca="false">IF($A53="","",TRIM(IF($B53="","Missing invoice ID. ","")&amp;IF(AND($B53&lt;&gt;"",COUNTIFS('Invoice &amp; Delivery Log'!$A$8:$A$157,$B53)=0),"Invoice ID not found in the invoice log. ","")&amp;IF(COUNTIFS('Payments Log'!$A$8:$A$207,$A53)&gt;1,"Duplicate payment ID. ","")&amp;IF(N($F53)&lt;=0,"Payment amount must be greater than zero. ","")&amp;IF($E53="","Missing payment date. ","")&amp;IF(AND($E53&lt;&gt;"",$J53&lt;&gt;"",$E53&lt;$J53),"Payment dated before the invoice date. ","")&amp;IF(AND($E53&lt;&gt;"",$E53&gt;Settings!$C$5),"Payment date is in the future. ","")&amp;IF(ROUND(N($P53),2)&lt;0,"Payment exceeds the invoice balance. ","")&amp;IF($G53="","Missing payment method. ","")))</f>
        <v/>
      </c>
    </row>
    <row r="54" customFormat="false" ht="15" hidden="false" customHeight="true" outlineLevel="0" collapsed="false">
      <c r="A54" s="44" t="s">
        <v>558</v>
      </c>
      <c r="B54" s="44" t="s">
        <v>347</v>
      </c>
      <c r="C54" s="63" t="str">
        <f aca="false">IF($B54="","",IFERROR(INDEX('Invoice &amp; Delivery Log'!$B$8:$B$157,MATCH($B54,'Invoice &amp; Delivery Log'!$A$8:$A$157,0)),""))</f>
        <v>VEN-009</v>
      </c>
      <c r="D54" s="55" t="str">
        <f aca="false">IF($B54="","",IFERROR(INDEX('Invoice &amp; Delivery Log'!$C$8:$C$157,MATCH($B54,'Invoice &amp; Delivery Log'!$A$8:$A$157,0)),"INVOICE NOT FOUND"))</f>
        <v>Vertex IT Solutions</v>
      </c>
      <c r="E54" s="56" t="n">
        <v>46207</v>
      </c>
      <c r="F54" s="58" t="n">
        <v>1010.83</v>
      </c>
      <c r="G54" s="44" t="s">
        <v>483</v>
      </c>
      <c r="H54" s="45" t="s">
        <v>559</v>
      </c>
      <c r="I54" s="45" t="s">
        <v>466</v>
      </c>
      <c r="J54" s="64" t="n">
        <f aca="false">IF($B54="","",IFERROR(INDEX('Invoice &amp; Delivery Log'!$H$8:$H$157,MATCH($B54,'Invoice &amp; Delivery Log'!$A$8:$A$157,0)),""))</f>
        <v>46174</v>
      </c>
      <c r="K54" s="64" t="n">
        <f aca="false">IF($B54="","",IFERROR(INDEX('Invoice &amp; Delivery Log'!$M$8:$M$157,MATCH($B54,'Invoice &amp; Delivery Log'!$A$8:$A$157,0)),""))</f>
        <v>46204</v>
      </c>
      <c r="L54" s="47" t="n">
        <f aca="false">IF(OR($E54="",$J54=""),"",$E54-$J54)</f>
        <v>33</v>
      </c>
      <c r="M54" s="47" t="n">
        <f aca="false">IF(OR($E54="",$K54=""),"",$E54-$K54)</f>
        <v>3</v>
      </c>
      <c r="N54" s="36" t="str">
        <f aca="false">IF(OR($E54="",$K54=""),"n/a",IF($E54&lt;=$K54,"On Time","Late"))</f>
        <v>Late</v>
      </c>
      <c r="O54" s="30" t="n">
        <f aca="false">IF($B54="","",SUMIFS($F$8:$F54,$B$8:$B54,$B54))</f>
        <v>2099.34</v>
      </c>
      <c r="P54" s="30" t="n">
        <f aca="false">IF($B54="","",IFERROR(ROUND(INDEX('Invoice &amp; Delivery Log'!$N$8:$N$157,MATCH($B54,'Invoice &amp; Delivery Log'!$A$8:$A$157,0))-$O54,2),""))</f>
        <v>0</v>
      </c>
      <c r="Q54" s="36" t="str">
        <f aca="false">IF($A54="","",IF($R54="","OK","REVIEW"))</f>
        <v>OK</v>
      </c>
      <c r="R54" s="28" t="str">
        <f aca="false">IF($A54="","",TRIM(IF($B54="","Missing invoice ID. ","")&amp;IF(AND($B54&lt;&gt;"",COUNTIFS('Invoice &amp; Delivery Log'!$A$8:$A$157,$B54)=0),"Invoice ID not found in the invoice log. ","")&amp;IF(COUNTIFS('Payments Log'!$A$8:$A$207,$A54)&gt;1,"Duplicate payment ID. ","")&amp;IF(N($F54)&lt;=0,"Payment amount must be greater than zero. ","")&amp;IF($E54="","Missing payment date. ","")&amp;IF(AND($E54&lt;&gt;"",$J54&lt;&gt;"",$E54&lt;$J54),"Payment dated before the invoice date. ","")&amp;IF(AND($E54&lt;&gt;"",$E54&gt;Settings!$C$5),"Payment date is in the future. ","")&amp;IF(ROUND(N($P54),2)&lt;0,"Payment exceeds the invoice balance. ","")&amp;IF($G54="","Missing payment method. ","")))</f>
        <v/>
      </c>
    </row>
    <row r="55" customFormat="false" ht="15" hidden="false" customHeight="true" outlineLevel="0" collapsed="false">
      <c r="A55" s="44" t="s">
        <v>560</v>
      </c>
      <c r="B55" s="44" t="s">
        <v>378</v>
      </c>
      <c r="C55" s="65" t="str">
        <f aca="false">IF($B55="","",IFERROR(INDEX('Invoice &amp; Delivery Log'!$B$8:$B$157,MATCH($B55,'Invoice &amp; Delivery Log'!$A$8:$A$157,0)),""))</f>
        <v>VEN-002</v>
      </c>
      <c r="D55" s="59" t="str">
        <f aca="false">IF($B55="","",IFERROR(INDEX('Invoice &amp; Delivery Log'!$C$8:$C$157,MATCH($B55,'Invoice &amp; Delivery Log'!$A$8:$A$157,0)),"INVOICE NOT FOUND"))</f>
        <v>Cascade Foods Distribution</v>
      </c>
      <c r="E55" s="56" t="n">
        <v>46207</v>
      </c>
      <c r="F55" s="58" t="n">
        <v>4690.66</v>
      </c>
      <c r="G55" s="44" t="s">
        <v>483</v>
      </c>
      <c r="H55" s="45" t="s">
        <v>561</v>
      </c>
      <c r="I55" s="45" t="s">
        <v>469</v>
      </c>
      <c r="J55" s="66" t="n">
        <f aca="false">IF($B55="","",IFERROR(INDEX('Invoice &amp; Delivery Log'!$H$8:$H$157,MATCH($B55,'Invoice &amp; Delivery Log'!$A$8:$A$157,0)),""))</f>
        <v>46201</v>
      </c>
      <c r="K55" s="66" t="n">
        <f aca="false">IF($B55="","",IFERROR(INDEX('Invoice &amp; Delivery Log'!$M$8:$M$157,MATCH($B55,'Invoice &amp; Delivery Log'!$A$8:$A$157,0)),""))</f>
        <v>46216</v>
      </c>
      <c r="L55" s="52" t="n">
        <f aca="false">IF(OR($E55="",$J55=""),"",$E55-$J55)</f>
        <v>6</v>
      </c>
      <c r="M55" s="52" t="n">
        <f aca="false">IF(OR($E55="",$K55=""),"",$E55-$K55)</f>
        <v>-9</v>
      </c>
      <c r="N55" s="53" t="str">
        <f aca="false">IF(OR($E55="",$K55=""),"n/a",IF($E55&lt;=$K55,"On Time","Late"))</f>
        <v>On Time</v>
      </c>
      <c r="O55" s="50" t="n">
        <f aca="false">IF($B55="","",SUMIFS($F$8:$F55,$B$8:$B55,$B55))</f>
        <v>4690.66</v>
      </c>
      <c r="P55" s="50" t="n">
        <f aca="false">IF($B55="","",IFERROR(ROUND(INDEX('Invoice &amp; Delivery Log'!$N$8:$N$157,MATCH($B55,'Invoice &amp; Delivery Log'!$A$8:$A$157,0))-$O55,2),""))</f>
        <v>0</v>
      </c>
      <c r="Q55" s="53" t="str">
        <f aca="false">IF($A55="","",IF($R55="","OK","REVIEW"))</f>
        <v>OK</v>
      </c>
      <c r="R55" s="62" t="str">
        <f aca="false">IF($A55="","",TRIM(IF($B55="","Missing invoice ID. ","")&amp;IF(AND($B55&lt;&gt;"",COUNTIFS('Invoice &amp; Delivery Log'!$A$8:$A$157,$B55)=0),"Invoice ID not found in the invoice log. ","")&amp;IF(COUNTIFS('Payments Log'!$A$8:$A$207,$A55)&gt;1,"Duplicate payment ID. ","")&amp;IF(N($F55)&lt;=0,"Payment amount must be greater than zero. ","")&amp;IF($E55="","Missing payment date. ","")&amp;IF(AND($E55&lt;&gt;"",$J55&lt;&gt;"",$E55&lt;$J55),"Payment dated before the invoice date. ","")&amp;IF(AND($E55&lt;&gt;"",$E55&gt;Settings!$C$5),"Payment date is in the future. ","")&amp;IF(ROUND(N($P55),2)&lt;0,"Payment exceeds the invoice balance. ","")&amp;IF($G55="","Missing payment method. ","")))</f>
        <v/>
      </c>
    </row>
    <row r="56" customFormat="false" ht="15" hidden="false" customHeight="true" outlineLevel="0" collapsed="false">
      <c r="A56" s="44" t="s">
        <v>562</v>
      </c>
      <c r="B56" s="44" t="s">
        <v>381</v>
      </c>
      <c r="C56" s="63" t="str">
        <f aca="false">IF($B56="","",IFERROR(INDEX('Invoice &amp; Delivery Log'!$B$8:$B$157,MATCH($B56,'Invoice &amp; Delivery Log'!$A$8:$A$157,0)),""))</f>
        <v>VEN-002</v>
      </c>
      <c r="D56" s="55" t="str">
        <f aca="false">IF($B56="","",IFERROR(INDEX('Invoice &amp; Delivery Log'!$C$8:$C$157,MATCH($B56,'Invoice &amp; Delivery Log'!$A$8:$A$157,0)),"INVOICE NOT FOUND"))</f>
        <v>Cascade Foods Distribution</v>
      </c>
      <c r="E56" s="56" t="n">
        <v>46213</v>
      </c>
      <c r="F56" s="58" t="n">
        <v>3291.74</v>
      </c>
      <c r="G56" s="44" t="s">
        <v>476</v>
      </c>
      <c r="H56" s="45" t="s">
        <v>563</v>
      </c>
      <c r="I56" s="45" t="s">
        <v>469</v>
      </c>
      <c r="J56" s="64" t="n">
        <f aca="false">IF($B56="","",IFERROR(INDEX('Invoice &amp; Delivery Log'!$H$8:$H$157,MATCH($B56,'Invoice &amp; Delivery Log'!$A$8:$A$157,0)),""))</f>
        <v>46201</v>
      </c>
      <c r="K56" s="64" t="n">
        <f aca="false">IF($B56="","",IFERROR(INDEX('Invoice &amp; Delivery Log'!$M$8:$M$157,MATCH($B56,'Invoice &amp; Delivery Log'!$A$8:$A$157,0)),""))</f>
        <v>46216</v>
      </c>
      <c r="L56" s="47" t="n">
        <f aca="false">IF(OR($E56="",$J56=""),"",$E56-$J56)</f>
        <v>12</v>
      </c>
      <c r="M56" s="47" t="n">
        <f aca="false">IF(OR($E56="",$K56=""),"",$E56-$K56)</f>
        <v>-3</v>
      </c>
      <c r="N56" s="36" t="str">
        <f aca="false">IF(OR($E56="",$K56=""),"n/a",IF($E56&lt;=$K56,"On Time","Late"))</f>
        <v>On Time</v>
      </c>
      <c r="O56" s="30" t="n">
        <f aca="false">IF($B56="","",SUMIFS($F$8:$F56,$B$8:$B56,$B56))</f>
        <v>3291.74</v>
      </c>
      <c r="P56" s="30" t="n">
        <f aca="false">IF($B56="","",IFERROR(ROUND(INDEX('Invoice &amp; Delivery Log'!$N$8:$N$157,MATCH($B56,'Invoice &amp; Delivery Log'!$A$8:$A$157,0))-$O56,2),""))</f>
        <v>0</v>
      </c>
      <c r="Q56" s="36" t="str">
        <f aca="false">IF($A56="","",IF($R56="","OK","REVIEW"))</f>
        <v>OK</v>
      </c>
      <c r="R56" s="28" t="str">
        <f aca="false">IF($A56="","",TRIM(IF($B56="","Missing invoice ID. ","")&amp;IF(AND($B56&lt;&gt;"",COUNTIFS('Invoice &amp; Delivery Log'!$A$8:$A$157,$B56)=0),"Invoice ID not found in the invoice log. ","")&amp;IF(COUNTIFS('Payments Log'!$A$8:$A$207,$A56)&gt;1,"Duplicate payment ID. ","")&amp;IF(N($F56)&lt;=0,"Payment amount must be greater than zero. ","")&amp;IF($E56="","Missing payment date. ","")&amp;IF(AND($E56&lt;&gt;"",$J56&lt;&gt;"",$E56&lt;$J56),"Payment dated before the invoice date. ","")&amp;IF(AND($E56&lt;&gt;"",$E56&gt;Settings!$C$5),"Payment date is in the future. ","")&amp;IF(ROUND(N($P56),2)&lt;0,"Payment exceeds the invoice balance. ","")&amp;IF($G56="","Missing payment method. ","")))</f>
        <v/>
      </c>
    </row>
    <row r="57" customFormat="false" ht="15" hidden="false" customHeight="true" outlineLevel="0" collapsed="false">
      <c r="A57" s="44" t="s">
        <v>564</v>
      </c>
      <c r="B57" s="44" t="s">
        <v>401</v>
      </c>
      <c r="C57" s="65" t="str">
        <f aca="false">IF($B57="","",IFERROR(INDEX('Invoice &amp; Delivery Log'!$B$8:$B$157,MATCH($B57,'Invoice &amp; Delivery Log'!$A$8:$A$157,0)),""))</f>
        <v>VEN-006</v>
      </c>
      <c r="D57" s="59" t="str">
        <f aca="false">IF($B57="","",IFERROR(INDEX('Invoice &amp; Delivery Log'!$C$8:$C$157,MATCH($B57,'Invoice &amp; Delivery Log'!$A$8:$A$157,0)),"INVOICE NOT FOUND"))</f>
        <v>Harborline Logistics</v>
      </c>
      <c r="E57" s="56" t="n">
        <v>46214</v>
      </c>
      <c r="F57" s="58" t="n">
        <v>736.34</v>
      </c>
      <c r="G57" s="44" t="s">
        <v>473</v>
      </c>
      <c r="H57" s="45" t="s">
        <v>565</v>
      </c>
      <c r="I57" s="45" t="s">
        <v>566</v>
      </c>
      <c r="J57" s="66" t="n">
        <f aca="false">IF($B57="","",IFERROR(INDEX('Invoice &amp; Delivery Log'!$H$8:$H$157,MATCH($B57,'Invoice &amp; Delivery Log'!$A$8:$A$157,0)),""))</f>
        <v>46220</v>
      </c>
      <c r="K57" s="66" t="n">
        <f aca="false">IF($B57="","",IFERROR(INDEX('Invoice &amp; Delivery Log'!$M$8:$M$157,MATCH($B57,'Invoice &amp; Delivery Log'!$A$8:$A$157,0)),""))</f>
        <v>46250</v>
      </c>
      <c r="L57" s="52" t="n">
        <f aca="false">IF(OR($E57="",$J57=""),"",$E57-$J57)</f>
        <v>-6</v>
      </c>
      <c r="M57" s="52" t="n">
        <f aca="false">IF(OR($E57="",$K57=""),"",$E57-$K57)</f>
        <v>-36</v>
      </c>
      <c r="N57" s="53" t="str">
        <f aca="false">IF(OR($E57="",$K57=""),"n/a",IF($E57&lt;=$K57,"On Time","Late"))</f>
        <v>On Time</v>
      </c>
      <c r="O57" s="50" t="n">
        <f aca="false">IF($B57="","",SUMIFS($F$8:$F57,$B$8:$B57,$B57))</f>
        <v>736.34</v>
      </c>
      <c r="P57" s="50" t="n">
        <f aca="false">IF($B57="","",IFERROR(ROUND(INDEX('Invoice &amp; Delivery Log'!$N$8:$N$157,MATCH($B57,'Invoice &amp; Delivery Log'!$A$8:$A$157,0))-$O57,2),""))</f>
        <v>1104.5</v>
      </c>
      <c r="Q57" s="53" t="str">
        <f aca="false">IF($A57="","",IF($R57="","OK","REVIEW"))</f>
        <v>REVIEW</v>
      </c>
      <c r="R57" s="62" t="str">
        <f aca="false">IF($A57="","",TRIM(IF($B57="","Missing invoice ID. ","")&amp;IF(AND($B57&lt;&gt;"",COUNTIFS('Invoice &amp; Delivery Log'!$A$8:$A$157,$B57)=0),"Invoice ID not found in the invoice log. ","")&amp;IF(COUNTIFS('Payments Log'!$A$8:$A$207,$A57)&gt;1,"Duplicate payment ID. ","")&amp;IF(N($F57)&lt;=0,"Payment amount must be greater than zero. ","")&amp;IF($E57="","Missing payment date. ","")&amp;IF(AND($E57&lt;&gt;"",$J57&lt;&gt;"",$E57&lt;$J57),"Payment dated before the invoice date. ","")&amp;IF(AND($E57&lt;&gt;"",$E57&gt;Settings!$C$5),"Payment date is in the future. ","")&amp;IF(ROUND(N($P57),2)&lt;0,"Payment exceeds the invoice balance. ","")&amp;IF($G57="","Missing payment method. ","")))</f>
        <v>Payment dated before the invoice date.</v>
      </c>
    </row>
    <row r="58" customFormat="false" ht="15" hidden="false" customHeight="true" outlineLevel="0" collapsed="false">
      <c r="A58" s="44" t="s">
        <v>567</v>
      </c>
      <c r="B58" s="44" t="s">
        <v>388</v>
      </c>
      <c r="C58" s="63" t="str">
        <f aca="false">IF($B58="","",IFERROR(INDEX('Invoice &amp; Delivery Log'!$B$8:$B$157,MATCH($B58,'Invoice &amp; Delivery Log'!$A$8:$A$157,0)),""))</f>
        <v>VEN-001</v>
      </c>
      <c r="D58" s="55" t="str">
        <f aca="false">IF($B58="","",IFERROR(INDEX('Invoice &amp; Delivery Log'!$C$8:$C$157,MATCH($B58,'Invoice &amp; Delivery Log'!$A$8:$A$157,0)),"INVOICE NOT FOUND"))</f>
        <v>Northwind Paper Supply</v>
      </c>
      <c r="E58" s="56" t="n">
        <v>46217</v>
      </c>
      <c r="F58" s="58" t="n">
        <v>1001.41</v>
      </c>
      <c r="G58" s="44" t="s">
        <v>476</v>
      </c>
      <c r="H58" s="45" t="s">
        <v>568</v>
      </c>
      <c r="I58" s="45" t="s">
        <v>469</v>
      </c>
      <c r="J58" s="64" t="n">
        <f aca="false">IF($B58="","",IFERROR(INDEX('Invoice &amp; Delivery Log'!$H$8:$H$157,MATCH($B58,'Invoice &amp; Delivery Log'!$A$8:$A$157,0)),""))</f>
        <v>46210</v>
      </c>
      <c r="K58" s="64" t="n">
        <f aca="false">IF($B58="","",IFERROR(INDEX('Invoice &amp; Delivery Log'!$M$8:$M$157,MATCH($B58,'Invoice &amp; Delivery Log'!$A$8:$A$157,0)),""))</f>
        <v>46240</v>
      </c>
      <c r="L58" s="47" t="n">
        <f aca="false">IF(OR($E58="",$J58=""),"",$E58-$J58)</f>
        <v>7</v>
      </c>
      <c r="M58" s="47" t="n">
        <f aca="false">IF(OR($E58="",$K58=""),"",$E58-$K58)</f>
        <v>-23</v>
      </c>
      <c r="N58" s="36" t="str">
        <f aca="false">IF(OR($E58="",$K58=""),"n/a",IF($E58&lt;=$K58,"On Time","Late"))</f>
        <v>On Time</v>
      </c>
      <c r="O58" s="30" t="n">
        <f aca="false">IF($B58="","",SUMIFS($F$8:$F58,$B$8:$B58,$B58))</f>
        <v>1001.41</v>
      </c>
      <c r="P58" s="30" t="n">
        <f aca="false">IF($B58="","",IFERROR(ROUND(INDEX('Invoice &amp; Delivery Log'!$N$8:$N$157,MATCH($B58,'Invoice &amp; Delivery Log'!$A$8:$A$157,0))-$O58,2),""))</f>
        <v>0</v>
      </c>
      <c r="Q58" s="36" t="str">
        <f aca="false">IF($A58="","",IF($R58="","OK","REVIEW"))</f>
        <v>OK</v>
      </c>
      <c r="R58" s="28" t="str">
        <f aca="false">IF($A58="","",TRIM(IF($B58="","Missing invoice ID. ","")&amp;IF(AND($B58&lt;&gt;"",COUNTIFS('Invoice &amp; Delivery Log'!$A$8:$A$157,$B58)=0),"Invoice ID not found in the invoice log. ","")&amp;IF(COUNTIFS('Payments Log'!$A$8:$A$207,$A58)&gt;1,"Duplicate payment ID. ","")&amp;IF(N($F58)&lt;=0,"Payment amount must be greater than zero. ","")&amp;IF($E58="","Missing payment date. ","")&amp;IF(AND($E58&lt;&gt;"",$J58&lt;&gt;"",$E58&lt;$J58),"Payment dated before the invoice date. ","")&amp;IF(AND($E58&lt;&gt;"",$E58&gt;Settings!$C$5),"Payment date is in the future. ","")&amp;IF(ROUND(N($P58),2)&lt;0,"Payment exceeds the invoice balance. ","")&amp;IF($G58="","Missing payment method. ","")))</f>
        <v/>
      </c>
    </row>
    <row r="59" customFormat="false" ht="15" hidden="false" customHeight="true" outlineLevel="0" collapsed="false">
      <c r="A59" s="44" t="s">
        <v>569</v>
      </c>
      <c r="B59" s="44" t="s">
        <v>385</v>
      </c>
      <c r="C59" s="65" t="str">
        <f aca="false">IF($B59="","",IFERROR(INDEX('Invoice &amp; Delivery Log'!$B$8:$B$157,MATCH($B59,'Invoice &amp; Delivery Log'!$A$8:$A$157,0)),""))</f>
        <v>VEN-009</v>
      </c>
      <c r="D59" s="59" t="str">
        <f aca="false">IF($B59="","",IFERROR(INDEX('Invoice &amp; Delivery Log'!$C$8:$C$157,MATCH($B59,'Invoice &amp; Delivery Log'!$A$8:$A$157,0)),"INVOICE NOT FOUND"))</f>
        <v>Vertex IT Solutions</v>
      </c>
      <c r="E59" s="56" t="n">
        <v>46219</v>
      </c>
      <c r="F59" s="58" t="n">
        <v>847.45</v>
      </c>
      <c r="G59" s="44" t="s">
        <v>483</v>
      </c>
      <c r="H59" s="45" t="s">
        <v>570</v>
      </c>
      <c r="I59" s="45" t="s">
        <v>460</v>
      </c>
      <c r="J59" s="66" t="n">
        <f aca="false">IF($B59="","",IFERROR(INDEX('Invoice &amp; Delivery Log'!$H$8:$H$157,MATCH($B59,'Invoice &amp; Delivery Log'!$A$8:$A$157,0)),""))</f>
        <v>46210</v>
      </c>
      <c r="K59" s="66" t="n">
        <f aca="false">IF($B59="","",IFERROR(INDEX('Invoice &amp; Delivery Log'!$M$8:$M$157,MATCH($B59,'Invoice &amp; Delivery Log'!$A$8:$A$157,0)),""))</f>
        <v>46240</v>
      </c>
      <c r="L59" s="52" t="n">
        <f aca="false">IF(OR($E59="",$J59=""),"",$E59-$J59)</f>
        <v>9</v>
      </c>
      <c r="M59" s="52" t="n">
        <f aca="false">IF(OR($E59="",$K59=""),"",$E59-$K59)</f>
        <v>-21</v>
      </c>
      <c r="N59" s="53" t="str">
        <f aca="false">IF(OR($E59="",$K59=""),"n/a",IF($E59&lt;=$K59,"On Time","Late"))</f>
        <v>On Time</v>
      </c>
      <c r="O59" s="50" t="n">
        <f aca="false">IF($B59="","",SUMIFS($F$8:$F59,$B$8:$B59,$B59))</f>
        <v>847.45</v>
      </c>
      <c r="P59" s="50" t="n">
        <f aca="false">IF($B59="","",IFERROR(ROUND(INDEX('Invoice &amp; Delivery Log'!$N$8:$N$157,MATCH($B59,'Invoice &amp; Delivery Log'!$A$8:$A$157,0))-$O59,2),""))</f>
        <v>864.87</v>
      </c>
      <c r="Q59" s="53" t="str">
        <f aca="false">IF($A59="","",IF($R59="","OK","REVIEW"))</f>
        <v>OK</v>
      </c>
      <c r="R59" s="62" t="str">
        <f aca="false">IF($A59="","",TRIM(IF($B59="","Missing invoice ID. ","")&amp;IF(AND($B59&lt;&gt;"",COUNTIFS('Invoice &amp; Delivery Log'!$A$8:$A$157,$B59)=0),"Invoice ID not found in the invoice log. ","")&amp;IF(COUNTIFS('Payments Log'!$A$8:$A$207,$A59)&gt;1,"Duplicate payment ID. ","")&amp;IF(N($F59)&lt;=0,"Payment amount must be greater than zero. ","")&amp;IF($E59="","Missing payment date. ","")&amp;IF(AND($E59&lt;&gt;"",$J59&lt;&gt;"",$E59&lt;$J59),"Payment dated before the invoice date. ","")&amp;IF(AND($E59&lt;&gt;"",$E59&gt;Settings!$C$5),"Payment date is in the future. ","")&amp;IF(ROUND(N($P59),2)&lt;0,"Payment exceeds the invoice balance. ","")&amp;IF($G59="","Missing payment method. ","")))</f>
        <v/>
      </c>
    </row>
    <row r="60" customFormat="false" ht="15" hidden="false" customHeight="true" outlineLevel="0" collapsed="false">
      <c r="A60" s="44" t="s">
        <v>571</v>
      </c>
      <c r="B60" s="44" t="s">
        <v>411</v>
      </c>
      <c r="C60" s="63" t="str">
        <f aca="false">IF($B60="","",IFERROR(INDEX('Invoice &amp; Delivery Log'!$B$8:$B$157,MATCH($B60,'Invoice &amp; Delivery Log'!$A$8:$A$157,0)),""))</f>
        <v>VEN-005</v>
      </c>
      <c r="D60" s="55" t="str">
        <f aca="false">IF($B60="","",IFERROR(INDEX('Invoice &amp; Delivery Log'!$C$8:$C$157,MATCH($B60,'Invoice &amp; Delivery Log'!$A$8:$A$157,0)),"INVOICE NOT FOUND"))</f>
        <v>Summit Cleaning Services</v>
      </c>
      <c r="E60" s="56" t="n">
        <v>46229</v>
      </c>
      <c r="F60" s="58" t="n">
        <v>1758.09</v>
      </c>
      <c r="G60" s="44" t="s">
        <v>476</v>
      </c>
      <c r="H60" s="45" t="s">
        <v>572</v>
      </c>
      <c r="I60" s="45" t="s">
        <v>469</v>
      </c>
      <c r="J60" s="64" t="n">
        <f aca="false">IF($B60="","",IFERROR(INDEX('Invoice &amp; Delivery Log'!$H$8:$H$157,MATCH($B60,'Invoice &amp; Delivery Log'!$A$8:$A$157,0)),""))</f>
        <v>46226</v>
      </c>
      <c r="K60" s="64" t="n">
        <f aca="false">IF($B60="","",IFERROR(INDEX('Invoice &amp; Delivery Log'!$M$8:$M$157,MATCH($B60,'Invoice &amp; Delivery Log'!$A$8:$A$157,0)),""))</f>
        <v>46240</v>
      </c>
      <c r="L60" s="47" t="n">
        <f aca="false">IF(OR($E60="",$J60=""),"",$E60-$J60)</f>
        <v>3</v>
      </c>
      <c r="M60" s="47" t="n">
        <f aca="false">IF(OR($E60="",$K60=""),"",$E60-$K60)</f>
        <v>-11</v>
      </c>
      <c r="N60" s="36" t="str">
        <f aca="false">IF(OR($E60="",$K60=""),"n/a",IF($E60&lt;=$K60,"On Time","Late"))</f>
        <v>On Time</v>
      </c>
      <c r="O60" s="30" t="n">
        <f aca="false">IF($B60="","",SUMIFS($F$8:$F60,$B$8:$B60,$B60))</f>
        <v>1758.09</v>
      </c>
      <c r="P60" s="30" t="n">
        <f aca="false">IF($B60="","",IFERROR(ROUND(INDEX('Invoice &amp; Delivery Log'!$N$8:$N$157,MATCH($B60,'Invoice &amp; Delivery Log'!$A$8:$A$157,0))-$O60,2),""))</f>
        <v>0</v>
      </c>
      <c r="Q60" s="36" t="str">
        <f aca="false">IF($A60="","",IF($R60="","OK","REVIEW"))</f>
        <v>OK</v>
      </c>
      <c r="R60" s="28" t="str">
        <f aca="false">IF($A60="","",TRIM(IF($B60="","Missing invoice ID. ","")&amp;IF(AND($B60&lt;&gt;"",COUNTIFS('Invoice &amp; Delivery Log'!$A$8:$A$157,$B60)=0),"Invoice ID not found in the invoice log. ","")&amp;IF(COUNTIFS('Payments Log'!$A$8:$A$207,$A60)&gt;1,"Duplicate payment ID. ","")&amp;IF(N($F60)&lt;=0,"Payment amount must be greater than zero. ","")&amp;IF($E60="","Missing payment date. ","")&amp;IF(AND($E60&lt;&gt;"",$J60&lt;&gt;"",$E60&lt;$J60),"Payment dated before the invoice date. ","")&amp;IF(AND($E60&lt;&gt;"",$E60&gt;Settings!$C$5),"Payment date is in the future. ","")&amp;IF(ROUND(N($P60),2)&lt;0,"Payment exceeds the invoice balance. ","")&amp;IF($G60="","Missing payment method. ","")))</f>
        <v/>
      </c>
    </row>
    <row r="61" customFormat="false" ht="15" hidden="false" customHeight="true" outlineLevel="0" collapsed="false">
      <c r="A61" s="44" t="s">
        <v>573</v>
      </c>
      <c r="B61" s="44" t="s">
        <v>408</v>
      </c>
      <c r="C61" s="65" t="str">
        <f aca="false">IF($B61="","",IFERROR(INDEX('Invoice &amp; Delivery Log'!$B$8:$B$157,MATCH($B61,'Invoice &amp; Delivery Log'!$A$8:$A$157,0)),""))</f>
        <v>VEN-006</v>
      </c>
      <c r="D61" s="59" t="str">
        <f aca="false">IF($B61="","",IFERROR(INDEX('Invoice &amp; Delivery Log'!$C$8:$C$157,MATCH($B61,'Invoice &amp; Delivery Log'!$A$8:$A$157,0)),"INVOICE NOT FOUND"))</f>
        <v>Harborline Logistics</v>
      </c>
      <c r="E61" s="56" t="n">
        <v>46233</v>
      </c>
      <c r="F61" s="58" t="n">
        <v>3774.38</v>
      </c>
      <c r="G61" s="44" t="s">
        <v>462</v>
      </c>
      <c r="H61" s="45" t="s">
        <v>574</v>
      </c>
      <c r="I61" s="45" t="s">
        <v>469</v>
      </c>
      <c r="J61" s="66" t="n">
        <f aca="false">IF($B61="","",IFERROR(INDEX('Invoice &amp; Delivery Log'!$H$8:$H$157,MATCH($B61,'Invoice &amp; Delivery Log'!$A$8:$A$157,0)),""))</f>
        <v>46223</v>
      </c>
      <c r="K61" s="66" t="n">
        <f aca="false">IF($B61="","",IFERROR(INDEX('Invoice &amp; Delivery Log'!$M$8:$M$157,MATCH($B61,'Invoice &amp; Delivery Log'!$A$8:$A$157,0)),""))</f>
        <v>46253</v>
      </c>
      <c r="L61" s="52" t="n">
        <f aca="false">IF(OR($E61="",$J61=""),"",$E61-$J61)</f>
        <v>10</v>
      </c>
      <c r="M61" s="52" t="n">
        <f aca="false">IF(OR($E61="",$K61=""),"",$E61-$K61)</f>
        <v>-20</v>
      </c>
      <c r="N61" s="53" t="str">
        <f aca="false">IF(OR($E61="",$K61=""),"n/a",IF($E61&lt;=$K61,"On Time","Late"))</f>
        <v>On Time</v>
      </c>
      <c r="O61" s="50" t="n">
        <f aca="false">IF($B61="","",SUMIFS($F$8:$F61,$B$8:$B61,$B61))</f>
        <v>3774.38</v>
      </c>
      <c r="P61" s="50" t="n">
        <f aca="false">IF($B61="","",IFERROR(ROUND(INDEX('Invoice &amp; Delivery Log'!$N$8:$N$157,MATCH($B61,'Invoice &amp; Delivery Log'!$A$8:$A$157,0))-$O61,2),""))</f>
        <v>0</v>
      </c>
      <c r="Q61" s="53" t="str">
        <f aca="false">IF($A61="","",IF($R61="","OK","REVIEW"))</f>
        <v>OK</v>
      </c>
      <c r="R61" s="62" t="str">
        <f aca="false">IF($A61="","",TRIM(IF($B61="","Missing invoice ID. ","")&amp;IF(AND($B61&lt;&gt;"",COUNTIFS('Invoice &amp; Delivery Log'!$A$8:$A$157,$B61)=0),"Invoice ID not found in the invoice log. ","")&amp;IF(COUNTIFS('Payments Log'!$A$8:$A$207,$A61)&gt;1,"Duplicate payment ID. ","")&amp;IF(N($F61)&lt;=0,"Payment amount must be greater than zero. ","")&amp;IF($E61="","Missing payment date. ","")&amp;IF(AND($E61&lt;&gt;"",$J61&lt;&gt;"",$E61&lt;$J61),"Payment dated before the invoice date. ","")&amp;IF(AND($E61&lt;&gt;"",$E61&gt;Settings!$C$5),"Payment date is in the future. ","")&amp;IF(ROUND(N($P61),2)&lt;0,"Payment exceeds the invoice balance. ","")&amp;IF($G61="","Missing payment method. ","")))</f>
        <v/>
      </c>
    </row>
    <row r="62" customFormat="false" ht="15" hidden="false" customHeight="true" outlineLevel="0" collapsed="false">
      <c r="A62" s="44" t="s">
        <v>575</v>
      </c>
      <c r="B62" s="44" t="s">
        <v>414</v>
      </c>
      <c r="C62" s="63" t="str">
        <f aca="false">IF($B62="","",IFERROR(INDEX('Invoice &amp; Delivery Log'!$B$8:$B$157,MATCH($B62,'Invoice &amp; Delivery Log'!$A$8:$A$157,0)),""))</f>
        <v>VEN-006</v>
      </c>
      <c r="D62" s="55" t="str">
        <f aca="false">IF($B62="","",IFERROR(INDEX('Invoice &amp; Delivery Log'!$C$8:$C$157,MATCH($B62,'Invoice &amp; Delivery Log'!$A$8:$A$157,0)),"INVOICE NOT FOUND"))</f>
        <v>Harborline Logistics</v>
      </c>
      <c r="E62" s="56" t="n">
        <v>46245</v>
      </c>
      <c r="F62" s="58" t="n">
        <v>3940.06</v>
      </c>
      <c r="G62" s="44" t="s">
        <v>483</v>
      </c>
      <c r="H62" s="45" t="s">
        <v>576</v>
      </c>
      <c r="I62" s="45" t="s">
        <v>469</v>
      </c>
      <c r="J62" s="64" t="n">
        <f aca="false">IF($B62="","",IFERROR(INDEX('Invoice &amp; Delivery Log'!$H$8:$H$157,MATCH($B62,'Invoice &amp; Delivery Log'!$A$8:$A$157,0)),""))</f>
        <v>46231</v>
      </c>
      <c r="K62" s="64" t="n">
        <f aca="false">IF($B62="","",IFERROR(INDEX('Invoice &amp; Delivery Log'!$M$8:$M$157,MATCH($B62,'Invoice &amp; Delivery Log'!$A$8:$A$157,0)),""))</f>
        <v>46261</v>
      </c>
      <c r="L62" s="47" t="n">
        <f aca="false">IF(OR($E62="",$J62=""),"",$E62-$J62)</f>
        <v>14</v>
      </c>
      <c r="M62" s="47" t="n">
        <f aca="false">IF(OR($E62="",$K62=""),"",$E62-$K62)</f>
        <v>-16</v>
      </c>
      <c r="N62" s="36" t="str">
        <f aca="false">IF(OR($E62="",$K62=""),"n/a",IF($E62&lt;=$K62,"On Time","Late"))</f>
        <v>On Time</v>
      </c>
      <c r="O62" s="30" t="n">
        <f aca="false">IF($B62="","",SUMIFS($F$8:$F62,$B$8:$B62,$B62))</f>
        <v>3940.06</v>
      </c>
      <c r="P62" s="30" t="n">
        <f aca="false">IF($B62="","",IFERROR(ROUND(INDEX('Invoice &amp; Delivery Log'!$N$8:$N$157,MATCH($B62,'Invoice &amp; Delivery Log'!$A$8:$A$157,0))-$O62,2),""))</f>
        <v>0</v>
      </c>
      <c r="Q62" s="36" t="str">
        <f aca="false">IF($A62="","",IF($R62="","OK","REVIEW"))</f>
        <v>OK</v>
      </c>
      <c r="R62" s="28" t="str">
        <f aca="false">IF($A62="","",TRIM(IF($B62="","Missing invoice ID. ","")&amp;IF(AND($B62&lt;&gt;"",COUNTIFS('Invoice &amp; Delivery Log'!$A$8:$A$157,$B62)=0),"Invoice ID not found in the invoice log. ","")&amp;IF(COUNTIFS('Payments Log'!$A$8:$A$207,$A62)&gt;1,"Duplicate payment ID. ","")&amp;IF(N($F62)&lt;=0,"Payment amount must be greater than zero. ","")&amp;IF($E62="","Missing payment date. ","")&amp;IF(AND($E62&lt;&gt;"",$J62&lt;&gt;"",$E62&lt;$J62),"Payment dated before the invoice date. ","")&amp;IF(AND($E62&lt;&gt;"",$E62&gt;Settings!$C$5),"Payment date is in the future. ","")&amp;IF(ROUND(N($P62),2)&lt;0,"Payment exceeds the invoice balance. ","")&amp;IF($G62="","Missing payment method. ","")))</f>
        <v/>
      </c>
    </row>
    <row r="63" customFormat="false" ht="15" hidden="false" customHeight="true" outlineLevel="0" collapsed="false">
      <c r="A63" s="44" t="s">
        <v>577</v>
      </c>
      <c r="B63" s="44" t="s">
        <v>398</v>
      </c>
      <c r="C63" s="65" t="str">
        <f aca="false">IF($B63="","",IFERROR(INDEX('Invoice &amp; Delivery Log'!$B$8:$B$157,MATCH($B63,'Invoice &amp; Delivery Log'!$A$8:$A$157,0)),""))</f>
        <v>VEN-006</v>
      </c>
      <c r="D63" s="59" t="str">
        <f aca="false">IF($B63="","",IFERROR(INDEX('Invoice &amp; Delivery Log'!$C$8:$C$157,MATCH($B63,'Invoice &amp; Delivery Log'!$A$8:$A$157,0)),"INVOICE NOT FOUND"))</f>
        <v>Harborline Logistics</v>
      </c>
      <c r="E63" s="56" t="n">
        <v>46246</v>
      </c>
      <c r="F63" s="58" t="n">
        <v>576.42</v>
      </c>
      <c r="G63" s="44" t="s">
        <v>473</v>
      </c>
      <c r="H63" s="45" t="s">
        <v>578</v>
      </c>
      <c r="I63" s="45" t="s">
        <v>460</v>
      </c>
      <c r="J63" s="66" t="n">
        <f aca="false">IF($B63="","",IFERROR(INDEX('Invoice &amp; Delivery Log'!$H$8:$H$157,MATCH($B63,'Invoice &amp; Delivery Log'!$A$8:$A$157,0)),""))</f>
        <v>46217</v>
      </c>
      <c r="K63" s="66" t="n">
        <f aca="false">IF($B63="","",IFERROR(INDEX('Invoice &amp; Delivery Log'!$M$8:$M$157,MATCH($B63,'Invoice &amp; Delivery Log'!$A$8:$A$157,0)),""))</f>
        <v>46247</v>
      </c>
      <c r="L63" s="52" t="n">
        <f aca="false">IF(OR($E63="",$J63=""),"",$E63-$J63)</f>
        <v>29</v>
      </c>
      <c r="M63" s="52" t="n">
        <f aca="false">IF(OR($E63="",$K63=""),"",$E63-$K63)</f>
        <v>-1</v>
      </c>
      <c r="N63" s="53" t="str">
        <f aca="false">IF(OR($E63="",$K63=""),"n/a",IF($E63&lt;=$K63,"On Time","Late"))</f>
        <v>On Time</v>
      </c>
      <c r="O63" s="50" t="n">
        <f aca="false">IF($B63="","",SUMIFS($F$8:$F63,$B$8:$B63,$B63))</f>
        <v>576.42</v>
      </c>
      <c r="P63" s="50" t="n">
        <f aca="false">IF($B63="","",IFERROR(ROUND(INDEX('Invoice &amp; Delivery Log'!$N$8:$N$157,MATCH($B63,'Invoice &amp; Delivery Log'!$A$8:$A$157,0))-$O63,2),""))</f>
        <v>641.19</v>
      </c>
      <c r="Q63" s="53" t="str">
        <f aca="false">IF($A63="","",IF($R63="","OK","REVIEW"))</f>
        <v>OK</v>
      </c>
      <c r="R63" s="62" t="str">
        <f aca="false">IF($A63="","",TRIM(IF($B63="","Missing invoice ID. ","")&amp;IF(AND($B63&lt;&gt;"",COUNTIFS('Invoice &amp; Delivery Log'!$A$8:$A$157,$B63)=0),"Invoice ID not found in the invoice log. ","")&amp;IF(COUNTIFS('Payments Log'!$A$8:$A$207,$A63)&gt;1,"Duplicate payment ID. ","")&amp;IF(N($F63)&lt;=0,"Payment amount must be greater than zero. ","")&amp;IF($E63="","Missing payment date. ","")&amp;IF(AND($E63&lt;&gt;"",$J63&lt;&gt;"",$E63&lt;$J63),"Payment dated before the invoice date. ","")&amp;IF(AND($E63&lt;&gt;"",$E63&gt;Settings!$C$5),"Payment date is in the future. ","")&amp;IF(ROUND(N($P63),2)&lt;0,"Payment exceeds the invoice balance. ","")&amp;IF($G63="","Missing payment method. ","")))</f>
        <v/>
      </c>
    </row>
    <row r="64" customFormat="false" ht="15" hidden="false" customHeight="true" outlineLevel="0" collapsed="false">
      <c r="A64" s="44" t="s">
        <v>579</v>
      </c>
      <c r="B64" s="44" t="s">
        <v>427</v>
      </c>
      <c r="C64" s="63" t="str">
        <f aca="false">IF($B64="","",IFERROR(INDEX('Invoice &amp; Delivery Log'!$B$8:$B$157,MATCH($B64,'Invoice &amp; Delivery Log'!$A$8:$A$157,0)),""))</f>
        <v>VEN-005</v>
      </c>
      <c r="D64" s="55" t="str">
        <f aca="false">IF($B64="","",IFERROR(INDEX('Invoice &amp; Delivery Log'!$C$8:$C$157,MATCH($B64,'Invoice &amp; Delivery Log'!$A$8:$A$157,0)),"INVOICE NOT FOUND"))</f>
        <v>Summit Cleaning Services</v>
      </c>
      <c r="E64" s="56" t="n">
        <v>46253</v>
      </c>
      <c r="F64" s="58" t="n">
        <v>760.96</v>
      </c>
      <c r="G64" s="44" t="s">
        <v>473</v>
      </c>
      <c r="H64" s="45" t="s">
        <v>580</v>
      </c>
      <c r="I64" s="45" t="s">
        <v>469</v>
      </c>
      <c r="J64" s="64" t="n">
        <f aca="false">IF($B64="","",IFERROR(INDEX('Invoice &amp; Delivery Log'!$H$8:$H$157,MATCH($B64,'Invoice &amp; Delivery Log'!$A$8:$A$157,0)),""))</f>
        <v>46250</v>
      </c>
      <c r="K64" s="64" t="n">
        <f aca="false">IF($B64="","",IFERROR(INDEX('Invoice &amp; Delivery Log'!$M$8:$M$157,MATCH($B64,'Invoice &amp; Delivery Log'!$A$8:$A$157,0)),""))</f>
        <v>46264</v>
      </c>
      <c r="L64" s="47" t="n">
        <f aca="false">IF(OR($E64="",$J64=""),"",$E64-$J64)</f>
        <v>3</v>
      </c>
      <c r="M64" s="47" t="n">
        <f aca="false">IF(OR($E64="",$K64=""),"",$E64-$K64)</f>
        <v>-11</v>
      </c>
      <c r="N64" s="36" t="str">
        <f aca="false">IF(OR($E64="",$K64=""),"n/a",IF($E64&lt;=$K64,"On Time","Late"))</f>
        <v>On Time</v>
      </c>
      <c r="O64" s="30" t="n">
        <f aca="false">IF($B64="","",SUMIFS($F$8:$F64,$B$8:$B64,$B64))</f>
        <v>760.96</v>
      </c>
      <c r="P64" s="30" t="n">
        <f aca="false">IF($B64="","",IFERROR(ROUND(INDEX('Invoice &amp; Delivery Log'!$N$8:$N$157,MATCH($B64,'Invoice &amp; Delivery Log'!$A$8:$A$157,0))-$O64,2),""))</f>
        <v>0</v>
      </c>
      <c r="Q64" s="36" t="str">
        <f aca="false">IF($A64="","",IF($R64="","OK","REVIEW"))</f>
        <v>OK</v>
      </c>
      <c r="R64" s="28" t="str">
        <f aca="false">IF($A64="","",TRIM(IF($B64="","Missing invoice ID. ","")&amp;IF(AND($B64&lt;&gt;"",COUNTIFS('Invoice &amp; Delivery Log'!$A$8:$A$157,$B64)=0),"Invoice ID not found in the invoice log. ","")&amp;IF(COUNTIFS('Payments Log'!$A$8:$A$207,$A64)&gt;1,"Duplicate payment ID. ","")&amp;IF(N($F64)&lt;=0,"Payment amount must be greater than zero. ","")&amp;IF($E64="","Missing payment date. ","")&amp;IF(AND($E64&lt;&gt;"",$J64&lt;&gt;"",$E64&lt;$J64),"Payment dated before the invoice date. ","")&amp;IF(AND($E64&lt;&gt;"",$E64&gt;Settings!$C$5),"Payment date is in the future. ","")&amp;IF(ROUND(N($P64),2)&lt;0,"Payment exceeds the invoice balance. ","")&amp;IF($G64="","Missing payment method. ","")))</f>
        <v/>
      </c>
    </row>
    <row r="65" customFormat="false" ht="15" hidden="false" customHeight="true" outlineLevel="0" collapsed="false">
      <c r="A65" s="44" t="s">
        <v>581</v>
      </c>
      <c r="B65" s="44" t="s">
        <v>582</v>
      </c>
      <c r="C65" s="65" t="str">
        <f aca="false">IF($B65="","",IFERROR(INDEX('Invoice &amp; Delivery Log'!$B$8:$B$157,MATCH($B65,'Invoice &amp; Delivery Log'!$A$8:$A$157,0)),""))</f>
        <v/>
      </c>
      <c r="D65" s="59" t="str">
        <f aca="false">IF($B65="","",IFERROR(INDEX('Invoice &amp; Delivery Log'!$C$8:$C$157,MATCH($B65,'Invoice &amp; Delivery Log'!$A$8:$A$157,0)),"INVOICE NOT FOUND"))</f>
        <v>INVOICE NOT FOUND</v>
      </c>
      <c r="E65" s="56" t="n">
        <v>46253</v>
      </c>
      <c r="F65" s="58" t="n">
        <v>1480</v>
      </c>
      <c r="G65" s="44" t="s">
        <v>483</v>
      </c>
      <c r="H65" s="45" t="s">
        <v>583</v>
      </c>
      <c r="I65" s="45" t="s">
        <v>584</v>
      </c>
      <c r="J65" s="66" t="str">
        <f aca="false">IF($B65="","",IFERROR(INDEX('Invoice &amp; Delivery Log'!$H$8:$H$157,MATCH($B65,'Invoice &amp; Delivery Log'!$A$8:$A$157,0)),""))</f>
        <v/>
      </c>
      <c r="K65" s="66" t="str">
        <f aca="false">IF($B65="","",IFERROR(INDEX('Invoice &amp; Delivery Log'!$M$8:$M$157,MATCH($B65,'Invoice &amp; Delivery Log'!$A$8:$A$157,0)),""))</f>
        <v/>
      </c>
      <c r="L65" s="52" t="str">
        <f aca="false">IF(OR($E65="",$J65=""),"",$E65-$J65)</f>
        <v/>
      </c>
      <c r="M65" s="52" t="str">
        <f aca="false">IF(OR($E65="",$K65=""),"",$E65-$K65)</f>
        <v/>
      </c>
      <c r="N65" s="53" t="str">
        <f aca="false">IF(OR($E65="",$K65=""),"n/a",IF($E65&lt;=$K65,"On Time","Late"))</f>
        <v>n/a</v>
      </c>
      <c r="O65" s="50" t="n">
        <f aca="false">IF($B65="","",SUMIFS($F$8:$F65,$B$8:$B65,$B65))</f>
        <v>1480</v>
      </c>
      <c r="P65" s="50" t="str">
        <f aca="false">IF($B65="","",IFERROR(ROUND(INDEX('Invoice &amp; Delivery Log'!$N$8:$N$157,MATCH($B65,'Invoice &amp; Delivery Log'!$A$8:$A$157,0))-$O65,2),""))</f>
        <v/>
      </c>
      <c r="Q65" s="53" t="str">
        <f aca="false">IF($A65="","",IF($R65="","OK","REVIEW"))</f>
        <v>REVIEW</v>
      </c>
      <c r="R65" s="62" t="str">
        <f aca="false">IF($A65="","",TRIM(IF($B65="","Missing invoice ID. ","")&amp;IF(AND($B65&lt;&gt;"",COUNTIFS('Invoice &amp; Delivery Log'!$A$8:$A$157,$B65)=0),"Invoice ID not found in the invoice log. ","")&amp;IF(COUNTIFS('Payments Log'!$A$8:$A$207,$A65)&gt;1,"Duplicate payment ID. ","")&amp;IF(N($F65)&lt;=0,"Payment amount must be greater than zero. ","")&amp;IF($E65="","Missing payment date. ","")&amp;IF(AND($E65&lt;&gt;"",$J65&lt;&gt;"",$E65&lt;$J65),"Payment dated before the invoice date. ","")&amp;IF(AND($E65&lt;&gt;"",$E65&gt;Settings!$C$5),"Payment date is in the future. ","")&amp;IF(ROUND(N($P65),2)&lt;0,"Payment exceeds the invoice balance. ","")&amp;IF($G65="","Missing payment method. ","")))</f>
        <v>Invoice ID not found in the invoice log.</v>
      </c>
    </row>
    <row r="66" customFormat="false" ht="15" hidden="false" customHeight="true" outlineLevel="0" collapsed="false">
      <c r="A66" s="44" t="s">
        <v>585</v>
      </c>
      <c r="B66" s="44" t="s">
        <v>424</v>
      </c>
      <c r="C66" s="63" t="str">
        <f aca="false">IF($B66="","",IFERROR(INDEX('Invoice &amp; Delivery Log'!$B$8:$B$157,MATCH($B66,'Invoice &amp; Delivery Log'!$A$8:$A$157,0)),""))</f>
        <v>VEN-006</v>
      </c>
      <c r="D66" s="55" t="str">
        <f aca="false">IF($B66="","",IFERROR(INDEX('Invoice &amp; Delivery Log'!$C$8:$C$157,MATCH($B66,'Invoice &amp; Delivery Log'!$A$8:$A$157,0)),"INVOICE NOT FOUND"))</f>
        <v>Harborline Logistics</v>
      </c>
      <c r="E66" s="56" t="n">
        <v>46258</v>
      </c>
      <c r="F66" s="58" t="n">
        <v>3481.94</v>
      </c>
      <c r="G66" s="44" t="s">
        <v>462</v>
      </c>
      <c r="H66" s="45" t="s">
        <v>586</v>
      </c>
      <c r="I66" s="45" t="s">
        <v>469</v>
      </c>
      <c r="J66" s="64" t="n">
        <f aca="false">IF($B66="","",IFERROR(INDEX('Invoice &amp; Delivery Log'!$H$8:$H$157,MATCH($B66,'Invoice &amp; Delivery Log'!$A$8:$A$157,0)),""))</f>
        <v>46251</v>
      </c>
      <c r="K66" s="64" t="n">
        <f aca="false">IF($B66="","",IFERROR(INDEX('Invoice &amp; Delivery Log'!$M$8:$M$157,MATCH($B66,'Invoice &amp; Delivery Log'!$A$8:$A$157,0)),""))</f>
        <v>46281</v>
      </c>
      <c r="L66" s="47" t="n">
        <f aca="false">IF(OR($E66="",$J66=""),"",$E66-$J66)</f>
        <v>7</v>
      </c>
      <c r="M66" s="47" t="n">
        <f aca="false">IF(OR($E66="",$K66=""),"",$E66-$K66)</f>
        <v>-23</v>
      </c>
      <c r="N66" s="36" t="str">
        <f aca="false">IF(OR($E66="",$K66=""),"n/a",IF($E66&lt;=$K66,"On Time","Late"))</f>
        <v>On Time</v>
      </c>
      <c r="O66" s="30" t="n">
        <f aca="false">IF($B66="","",SUMIFS($F$8:$F66,$B$8:$B66,$B66))</f>
        <v>3481.94</v>
      </c>
      <c r="P66" s="30" t="n">
        <f aca="false">IF($B66="","",IFERROR(ROUND(INDEX('Invoice &amp; Delivery Log'!$N$8:$N$157,MATCH($B66,'Invoice &amp; Delivery Log'!$A$8:$A$157,0))-$O66,2),""))</f>
        <v>0</v>
      </c>
      <c r="Q66" s="36" t="str">
        <f aca="false">IF($A66="","",IF($R66="","OK","REVIEW"))</f>
        <v>OK</v>
      </c>
      <c r="R66" s="28" t="str">
        <f aca="false">IF($A66="","",TRIM(IF($B66="","Missing invoice ID. ","")&amp;IF(AND($B66&lt;&gt;"",COUNTIFS('Invoice &amp; Delivery Log'!$A$8:$A$157,$B66)=0),"Invoice ID not found in the invoice log. ","")&amp;IF(COUNTIFS('Payments Log'!$A$8:$A$207,$A66)&gt;1,"Duplicate payment ID. ","")&amp;IF(N($F66)&lt;=0,"Payment amount must be greater than zero. ","")&amp;IF($E66="","Missing payment date. ","")&amp;IF(AND($E66&lt;&gt;"",$J66&lt;&gt;"",$E66&lt;$J66),"Payment dated before the invoice date. ","")&amp;IF(AND($E66&lt;&gt;"",$E66&gt;Settings!$C$5),"Payment date is in the future. ","")&amp;IF(ROUND(N($P66),2)&lt;0,"Payment exceeds the invoice balance. ","")&amp;IF($G66="","Missing payment method. ","")))</f>
        <v/>
      </c>
    </row>
    <row r="67" customFormat="false" ht="15" hidden="false" customHeight="true" outlineLevel="0" collapsed="false">
      <c r="A67" s="44" t="s">
        <v>587</v>
      </c>
      <c r="B67" s="44" t="s">
        <v>417</v>
      </c>
      <c r="C67" s="65" t="str">
        <f aca="false">IF($B67="","",IFERROR(INDEX('Invoice &amp; Delivery Log'!$B$8:$B$157,MATCH($B67,'Invoice &amp; Delivery Log'!$A$8:$A$157,0)),""))</f>
        <v>VEN-001</v>
      </c>
      <c r="D67" s="59" t="str">
        <f aca="false">IF($B67="","",IFERROR(INDEX('Invoice &amp; Delivery Log'!$C$8:$C$157,MATCH($B67,'Invoice &amp; Delivery Log'!$A$8:$A$157,0)),"INVOICE NOT FOUND"))</f>
        <v>Northwind Paper Supply</v>
      </c>
      <c r="E67" s="56" t="n">
        <v>46261</v>
      </c>
      <c r="F67" s="58" t="n">
        <v>215.2</v>
      </c>
      <c r="G67" s="44" t="s">
        <v>458</v>
      </c>
      <c r="H67" s="45" t="s">
        <v>588</v>
      </c>
      <c r="I67" s="45" t="s">
        <v>460</v>
      </c>
      <c r="J67" s="66" t="n">
        <f aca="false">IF($B67="","",IFERROR(INDEX('Invoice &amp; Delivery Log'!$H$8:$H$157,MATCH($B67,'Invoice &amp; Delivery Log'!$A$8:$A$157,0)),""))</f>
        <v>46235</v>
      </c>
      <c r="K67" s="66" t="n">
        <f aca="false">IF($B67="","",IFERROR(INDEX('Invoice &amp; Delivery Log'!$M$8:$M$157,MATCH($B67,'Invoice &amp; Delivery Log'!$A$8:$A$157,0)),""))</f>
        <v>46265</v>
      </c>
      <c r="L67" s="52" t="n">
        <f aca="false">IF(OR($E67="",$J67=""),"",$E67-$J67)</f>
        <v>26</v>
      </c>
      <c r="M67" s="52" t="n">
        <f aca="false">IF(OR($E67="",$K67=""),"",$E67-$K67)</f>
        <v>-4</v>
      </c>
      <c r="N67" s="53" t="str">
        <f aca="false">IF(OR($E67="",$K67=""),"n/a",IF($E67&lt;=$K67,"On Time","Late"))</f>
        <v>On Time</v>
      </c>
      <c r="O67" s="50" t="n">
        <f aca="false">IF($B67="","",SUMIFS($F$8:$F67,$B$8:$B67,$B67))</f>
        <v>215.2</v>
      </c>
      <c r="P67" s="50" t="n">
        <f aca="false">IF($B67="","",IFERROR(ROUND(INDEX('Invoice &amp; Delivery Log'!$N$8:$N$157,MATCH($B67,'Invoice &amp; Delivery Log'!$A$8:$A$157,0))-$O67,2),""))</f>
        <v>386.11</v>
      </c>
      <c r="Q67" s="53" t="str">
        <f aca="false">IF($A67="","",IF($R67="","OK","REVIEW"))</f>
        <v>OK</v>
      </c>
      <c r="R67" s="62" t="str">
        <f aca="false">IF($A67="","",TRIM(IF($B67="","Missing invoice ID. ","")&amp;IF(AND($B67&lt;&gt;"",COUNTIFS('Invoice &amp; Delivery Log'!$A$8:$A$157,$B67)=0),"Invoice ID not found in the invoice log. ","")&amp;IF(COUNTIFS('Payments Log'!$A$8:$A$207,$A67)&gt;1,"Duplicate payment ID. ","")&amp;IF(N($F67)&lt;=0,"Payment amount must be greater than zero. ","")&amp;IF($E67="","Missing payment date. ","")&amp;IF(AND($E67&lt;&gt;"",$J67&lt;&gt;"",$E67&lt;$J67),"Payment dated before the invoice date. ","")&amp;IF(AND($E67&lt;&gt;"",$E67&gt;Settings!$C$5),"Payment date is in the future. ","")&amp;IF(ROUND(N($P67),2)&lt;0,"Payment exceeds the invoice balance. ","")&amp;IF($G67="","Missing payment method. ","")))</f>
        <v/>
      </c>
    </row>
    <row r="68" customFormat="false" ht="15" hidden="false" customHeight="true" outlineLevel="0" collapsed="false">
      <c r="A68" s="44" t="s">
        <v>589</v>
      </c>
      <c r="B68" s="44" t="s">
        <v>398</v>
      </c>
      <c r="C68" s="63" t="str">
        <f aca="false">IF($B68="","",IFERROR(INDEX('Invoice &amp; Delivery Log'!$B$8:$B$157,MATCH($B68,'Invoice &amp; Delivery Log'!$A$8:$A$157,0)),""))</f>
        <v>VEN-006</v>
      </c>
      <c r="D68" s="55" t="str">
        <f aca="false">IF($B68="","",IFERROR(INDEX('Invoice &amp; Delivery Log'!$C$8:$C$157,MATCH($B68,'Invoice &amp; Delivery Log'!$A$8:$A$157,0)),"INVOICE NOT FOUND"))</f>
        <v>Harborline Logistics</v>
      </c>
      <c r="E68" s="56" t="n">
        <v>46263</v>
      </c>
      <c r="F68" s="58" t="n">
        <v>641.19</v>
      </c>
      <c r="G68" s="44" t="s">
        <v>458</v>
      </c>
      <c r="H68" s="45" t="s">
        <v>590</v>
      </c>
      <c r="I68" s="45" t="s">
        <v>466</v>
      </c>
      <c r="J68" s="64" t="n">
        <f aca="false">IF($B68="","",IFERROR(INDEX('Invoice &amp; Delivery Log'!$H$8:$H$157,MATCH($B68,'Invoice &amp; Delivery Log'!$A$8:$A$157,0)),""))</f>
        <v>46217</v>
      </c>
      <c r="K68" s="64" t="n">
        <f aca="false">IF($B68="","",IFERROR(INDEX('Invoice &amp; Delivery Log'!$M$8:$M$157,MATCH($B68,'Invoice &amp; Delivery Log'!$A$8:$A$157,0)),""))</f>
        <v>46247</v>
      </c>
      <c r="L68" s="47" t="n">
        <f aca="false">IF(OR($E68="",$J68=""),"",$E68-$J68)</f>
        <v>46</v>
      </c>
      <c r="M68" s="47" t="n">
        <f aca="false">IF(OR($E68="",$K68=""),"",$E68-$K68)</f>
        <v>16</v>
      </c>
      <c r="N68" s="36" t="str">
        <f aca="false">IF(OR($E68="",$K68=""),"n/a",IF($E68&lt;=$K68,"On Time","Late"))</f>
        <v>Late</v>
      </c>
      <c r="O68" s="30" t="n">
        <f aca="false">IF($B68="","",SUMIFS($F$8:$F68,$B$8:$B68,$B68))</f>
        <v>1217.61</v>
      </c>
      <c r="P68" s="30" t="n">
        <f aca="false">IF($B68="","",IFERROR(ROUND(INDEX('Invoice &amp; Delivery Log'!$N$8:$N$157,MATCH($B68,'Invoice &amp; Delivery Log'!$A$8:$A$157,0))-$O68,2),""))</f>
        <v>0</v>
      </c>
      <c r="Q68" s="36" t="str">
        <f aca="false">IF($A68="","",IF($R68="","OK","REVIEW"))</f>
        <v>OK</v>
      </c>
      <c r="R68" s="28" t="str">
        <f aca="false">IF($A68="","",TRIM(IF($B68="","Missing invoice ID. ","")&amp;IF(AND($B68&lt;&gt;"",COUNTIFS('Invoice &amp; Delivery Log'!$A$8:$A$157,$B68)=0),"Invoice ID not found in the invoice log. ","")&amp;IF(COUNTIFS('Payments Log'!$A$8:$A$207,$A68)&gt;1,"Duplicate payment ID. ","")&amp;IF(N($F68)&lt;=0,"Payment amount must be greater than zero. ","")&amp;IF($E68="","Missing payment date. ","")&amp;IF(AND($E68&lt;&gt;"",$J68&lt;&gt;"",$E68&lt;$J68),"Payment dated before the invoice date. ","")&amp;IF(AND($E68&lt;&gt;"",$E68&gt;Settings!$C$5),"Payment date is in the future. ","")&amp;IF(ROUND(N($P68),2)&lt;0,"Payment exceeds the invoice balance. ","")&amp;IF($G68="","Missing payment method. ","")))</f>
        <v/>
      </c>
    </row>
    <row r="69" customFormat="false" ht="15" hidden="false" customHeight="true" outlineLevel="0" collapsed="false">
      <c r="A69" s="44" t="s">
        <v>591</v>
      </c>
      <c r="B69" s="44" t="s">
        <v>417</v>
      </c>
      <c r="C69" s="65" t="str">
        <f aca="false">IF($B69="","",IFERROR(INDEX('Invoice &amp; Delivery Log'!$B$8:$B$157,MATCH($B69,'Invoice &amp; Delivery Log'!$A$8:$A$157,0)),""))</f>
        <v>VEN-001</v>
      </c>
      <c r="D69" s="59" t="str">
        <f aca="false">IF($B69="","",IFERROR(INDEX('Invoice &amp; Delivery Log'!$C$8:$C$157,MATCH($B69,'Invoice &amp; Delivery Log'!$A$8:$A$157,0)),"INVOICE NOT FOUND"))</f>
        <v>Northwind Paper Supply</v>
      </c>
      <c r="E69" s="56" t="n">
        <v>46272</v>
      </c>
      <c r="F69" s="58" t="n">
        <v>386.11</v>
      </c>
      <c r="G69" s="44" t="s">
        <v>462</v>
      </c>
      <c r="H69" s="45" t="s">
        <v>592</v>
      </c>
      <c r="I69" s="45" t="s">
        <v>466</v>
      </c>
      <c r="J69" s="66" t="n">
        <f aca="false">IF($B69="","",IFERROR(INDEX('Invoice &amp; Delivery Log'!$H$8:$H$157,MATCH($B69,'Invoice &amp; Delivery Log'!$A$8:$A$157,0)),""))</f>
        <v>46235</v>
      </c>
      <c r="K69" s="66" t="n">
        <f aca="false">IF($B69="","",IFERROR(INDEX('Invoice &amp; Delivery Log'!$M$8:$M$157,MATCH($B69,'Invoice &amp; Delivery Log'!$A$8:$A$157,0)),""))</f>
        <v>46265</v>
      </c>
      <c r="L69" s="52" t="n">
        <f aca="false">IF(OR($E69="",$J69=""),"",$E69-$J69)</f>
        <v>37</v>
      </c>
      <c r="M69" s="52" t="n">
        <f aca="false">IF(OR($E69="",$K69=""),"",$E69-$K69)</f>
        <v>7</v>
      </c>
      <c r="N69" s="53" t="str">
        <f aca="false">IF(OR($E69="",$K69=""),"n/a",IF($E69&lt;=$K69,"On Time","Late"))</f>
        <v>Late</v>
      </c>
      <c r="O69" s="50" t="n">
        <f aca="false">IF($B69="","",SUMIFS($F$8:$F69,$B$8:$B69,$B69))</f>
        <v>601.31</v>
      </c>
      <c r="P69" s="50" t="n">
        <f aca="false">IF($B69="","",IFERROR(ROUND(INDEX('Invoice &amp; Delivery Log'!$N$8:$N$157,MATCH($B69,'Invoice &amp; Delivery Log'!$A$8:$A$157,0))-$O69,2),""))</f>
        <v>0</v>
      </c>
      <c r="Q69" s="53" t="str">
        <f aca="false">IF($A69="","",IF($R69="","OK","REVIEW"))</f>
        <v>OK</v>
      </c>
      <c r="R69" s="62" t="str">
        <f aca="false">IF($A69="","",TRIM(IF($B69="","Missing invoice ID. ","")&amp;IF(AND($B69&lt;&gt;"",COUNTIFS('Invoice &amp; Delivery Log'!$A$8:$A$157,$B69)=0),"Invoice ID not found in the invoice log. ","")&amp;IF(COUNTIFS('Payments Log'!$A$8:$A$207,$A69)&gt;1,"Duplicate payment ID. ","")&amp;IF(N($F69)&lt;=0,"Payment amount must be greater than zero. ","")&amp;IF($E69="","Missing payment date. ","")&amp;IF(AND($E69&lt;&gt;"",$J69&lt;&gt;"",$E69&lt;$J69),"Payment dated before the invoice date. ","")&amp;IF(AND($E69&lt;&gt;"",$E69&gt;Settings!$C$5),"Payment date is in the future. ","")&amp;IF(ROUND(N($P69),2)&lt;0,"Payment exceeds the invoice balance. ","")&amp;IF($G69="","Missing payment method. ","")))</f>
        <v/>
      </c>
    </row>
    <row r="70" customFormat="false" ht="15" hidden="false" customHeight="true" outlineLevel="0" collapsed="false">
      <c r="A70" s="44" t="s">
        <v>593</v>
      </c>
      <c r="B70" s="44" t="s">
        <v>436</v>
      </c>
      <c r="C70" s="63" t="str">
        <f aca="false">IF($B70="","",IFERROR(INDEX('Invoice &amp; Delivery Log'!$B$8:$B$157,MATCH($B70,'Invoice &amp; Delivery Log'!$A$8:$A$157,0)),""))</f>
        <v>VEN-001</v>
      </c>
      <c r="D70" s="55" t="str">
        <f aca="false">IF($B70="","",IFERROR(INDEX('Invoice &amp; Delivery Log'!$C$8:$C$157,MATCH($B70,'Invoice &amp; Delivery Log'!$A$8:$A$157,0)),"INVOICE NOT FOUND"))</f>
        <v>Northwind Paper Supply</v>
      </c>
      <c r="E70" s="56" t="n">
        <v>46272</v>
      </c>
      <c r="F70" s="58" t="n">
        <v>452.13</v>
      </c>
      <c r="G70" s="44" t="s">
        <v>483</v>
      </c>
      <c r="H70" s="45" t="s">
        <v>594</v>
      </c>
      <c r="I70" s="45" t="s">
        <v>460</v>
      </c>
      <c r="J70" s="64" t="n">
        <f aca="false">IF($B70="","",IFERROR(INDEX('Invoice &amp; Delivery Log'!$H$8:$H$157,MATCH($B70,'Invoice &amp; Delivery Log'!$A$8:$A$157,0)),""))</f>
        <v>46267</v>
      </c>
      <c r="K70" s="64" t="n">
        <f aca="false">IF($B70="","",IFERROR(INDEX('Invoice &amp; Delivery Log'!$M$8:$M$157,MATCH($B70,'Invoice &amp; Delivery Log'!$A$8:$A$157,0)),""))</f>
        <v>46297</v>
      </c>
      <c r="L70" s="47" t="n">
        <f aca="false">IF(OR($E70="",$J70=""),"",$E70-$J70)</f>
        <v>5</v>
      </c>
      <c r="M70" s="47" t="n">
        <f aca="false">IF(OR($E70="",$K70=""),"",$E70-$K70)</f>
        <v>-25</v>
      </c>
      <c r="N70" s="36" t="str">
        <f aca="false">IF(OR($E70="",$K70=""),"n/a",IF($E70&lt;=$K70,"On Time","Late"))</f>
        <v>On Time</v>
      </c>
      <c r="O70" s="30" t="n">
        <f aca="false">IF($B70="","",SUMIFS($F$8:$F70,$B$8:$B70,$B70))</f>
        <v>452.13</v>
      </c>
      <c r="P70" s="30" t="n">
        <f aca="false">IF($B70="","",IFERROR(ROUND(INDEX('Invoice &amp; Delivery Log'!$N$8:$N$157,MATCH($B70,'Invoice &amp; Delivery Log'!$A$8:$A$157,0))-$O70,2),""))</f>
        <v>1086.32</v>
      </c>
      <c r="Q70" s="36" t="str">
        <f aca="false">IF($A70="","",IF($R70="","OK","REVIEW"))</f>
        <v>OK</v>
      </c>
      <c r="R70" s="28" t="str">
        <f aca="false">IF($A70="","",TRIM(IF($B70="","Missing invoice ID. ","")&amp;IF(AND($B70&lt;&gt;"",COUNTIFS('Invoice &amp; Delivery Log'!$A$8:$A$157,$B70)=0),"Invoice ID not found in the invoice log. ","")&amp;IF(COUNTIFS('Payments Log'!$A$8:$A$207,$A70)&gt;1,"Duplicate payment ID. ","")&amp;IF(N($F70)&lt;=0,"Payment amount must be greater than zero. ","")&amp;IF($E70="","Missing payment date. ","")&amp;IF(AND($E70&lt;&gt;"",$J70&lt;&gt;"",$E70&lt;$J70),"Payment dated before the invoice date. ","")&amp;IF(AND($E70&lt;&gt;"",$E70&gt;Settings!$C$5),"Payment date is in the future. ","")&amp;IF(ROUND(N($P70),2)&lt;0,"Payment exceeds the invoice balance. ","")&amp;IF($G70="","Missing payment method. ","")))</f>
        <v/>
      </c>
    </row>
    <row r="71" customFormat="false" ht="15" hidden="false" customHeight="true" outlineLevel="0" collapsed="false">
      <c r="A71" s="44"/>
      <c r="B71" s="44"/>
      <c r="C71" s="65" t="str">
        <f aca="false">IF($B71="","",IFERROR(INDEX('Invoice &amp; Delivery Log'!$B$8:$B$157,MATCH($B71,'Invoice &amp; Delivery Log'!$A$8:$A$157,0)),""))</f>
        <v/>
      </c>
      <c r="D71" s="59" t="str">
        <f aca="false">IF($B71="","",IFERROR(INDEX('Invoice &amp; Delivery Log'!$C$8:$C$157,MATCH($B71,'Invoice &amp; Delivery Log'!$A$8:$A$157,0)),"INVOICE NOT FOUND"))</f>
        <v/>
      </c>
      <c r="E71" s="56"/>
      <c r="F71" s="58"/>
      <c r="G71" s="44"/>
      <c r="H71" s="45"/>
      <c r="I71" s="45"/>
      <c r="J71" s="66" t="str">
        <f aca="false">IF($B71="","",IFERROR(INDEX('Invoice &amp; Delivery Log'!$H$8:$H$157,MATCH($B71,'Invoice &amp; Delivery Log'!$A$8:$A$157,0)),""))</f>
        <v/>
      </c>
      <c r="K71" s="66" t="str">
        <f aca="false">IF($B71="","",IFERROR(INDEX('Invoice &amp; Delivery Log'!$M$8:$M$157,MATCH($B71,'Invoice &amp; Delivery Log'!$A$8:$A$157,0)),""))</f>
        <v/>
      </c>
      <c r="L71" s="52" t="str">
        <f aca="false">IF(OR($E71="",$J71=""),"",$E71-$J71)</f>
        <v/>
      </c>
      <c r="M71" s="52" t="str">
        <f aca="false">IF(OR($E71="",$K71=""),"",$E71-$K71)</f>
        <v/>
      </c>
      <c r="N71" s="53" t="str">
        <f aca="false">IF(OR($E71="",$K71=""),"n/a",IF($E71&lt;=$K71,"On Time","Late"))</f>
        <v>n/a</v>
      </c>
      <c r="O71" s="50" t="str">
        <f aca="false">IF($B71="","",SUMIFS($F$8:$F71,$B$8:$B71,$B71))</f>
        <v/>
      </c>
      <c r="P71" s="50" t="str">
        <f aca="false">IF($B71="","",IFERROR(ROUND(INDEX('Invoice &amp; Delivery Log'!$N$8:$N$157,MATCH($B71,'Invoice &amp; Delivery Log'!$A$8:$A$157,0))-$O71,2),""))</f>
        <v/>
      </c>
      <c r="Q71" s="53" t="str">
        <f aca="false">IF($A71="","",IF($R71="","OK","REVIEW"))</f>
        <v/>
      </c>
      <c r="R71" s="62" t="str">
        <f aca="false">IF($A71="","",TRIM(IF($B71="","Missing invoice ID. ","")&amp;IF(AND($B71&lt;&gt;"",COUNTIFS('Invoice &amp; Delivery Log'!$A$8:$A$157,$B71)=0),"Invoice ID not found in the invoice log. ","")&amp;IF(COUNTIFS('Payments Log'!$A$8:$A$207,$A71)&gt;1,"Duplicate payment ID. ","")&amp;IF(N($F71)&lt;=0,"Payment amount must be greater than zero. ","")&amp;IF($E71="","Missing payment date. ","")&amp;IF(AND($E71&lt;&gt;"",$J71&lt;&gt;"",$E71&lt;$J71),"Payment dated before the invoice date. ","")&amp;IF(AND($E71&lt;&gt;"",$E71&gt;Settings!$C$5),"Payment date is in the future. ","")&amp;IF(ROUND(N($P71),2)&lt;0,"Payment exceeds the invoice balance. ","")&amp;IF($G71="","Missing payment method. ","")))</f>
        <v/>
      </c>
    </row>
    <row r="72" customFormat="false" ht="15" hidden="false" customHeight="true" outlineLevel="0" collapsed="false">
      <c r="A72" s="44"/>
      <c r="B72" s="44"/>
      <c r="C72" s="63" t="str">
        <f aca="false">IF($B72="","",IFERROR(INDEX('Invoice &amp; Delivery Log'!$B$8:$B$157,MATCH($B72,'Invoice &amp; Delivery Log'!$A$8:$A$157,0)),""))</f>
        <v/>
      </c>
      <c r="D72" s="55" t="str">
        <f aca="false">IF($B72="","",IFERROR(INDEX('Invoice &amp; Delivery Log'!$C$8:$C$157,MATCH($B72,'Invoice &amp; Delivery Log'!$A$8:$A$157,0)),"INVOICE NOT FOUND"))</f>
        <v/>
      </c>
      <c r="E72" s="56"/>
      <c r="F72" s="58"/>
      <c r="G72" s="44"/>
      <c r="H72" s="45"/>
      <c r="I72" s="45"/>
      <c r="J72" s="64" t="str">
        <f aca="false">IF($B72="","",IFERROR(INDEX('Invoice &amp; Delivery Log'!$H$8:$H$157,MATCH($B72,'Invoice &amp; Delivery Log'!$A$8:$A$157,0)),""))</f>
        <v/>
      </c>
      <c r="K72" s="64" t="str">
        <f aca="false">IF($B72="","",IFERROR(INDEX('Invoice &amp; Delivery Log'!$M$8:$M$157,MATCH($B72,'Invoice &amp; Delivery Log'!$A$8:$A$157,0)),""))</f>
        <v/>
      </c>
      <c r="L72" s="47" t="str">
        <f aca="false">IF(OR($E72="",$J72=""),"",$E72-$J72)</f>
        <v/>
      </c>
      <c r="M72" s="47" t="str">
        <f aca="false">IF(OR($E72="",$K72=""),"",$E72-$K72)</f>
        <v/>
      </c>
      <c r="N72" s="36" t="str">
        <f aca="false">IF(OR($E72="",$K72=""),"n/a",IF($E72&lt;=$K72,"On Time","Late"))</f>
        <v>n/a</v>
      </c>
      <c r="O72" s="30" t="str">
        <f aca="false">IF($B72="","",SUMIFS($F$8:$F72,$B$8:$B72,$B72))</f>
        <v/>
      </c>
      <c r="P72" s="30" t="str">
        <f aca="false">IF($B72="","",IFERROR(ROUND(INDEX('Invoice &amp; Delivery Log'!$N$8:$N$157,MATCH($B72,'Invoice &amp; Delivery Log'!$A$8:$A$157,0))-$O72,2),""))</f>
        <v/>
      </c>
      <c r="Q72" s="36" t="str">
        <f aca="false">IF($A72="","",IF($R72="","OK","REVIEW"))</f>
        <v/>
      </c>
      <c r="R72" s="28" t="str">
        <f aca="false">IF($A72="","",TRIM(IF($B72="","Missing invoice ID. ","")&amp;IF(AND($B72&lt;&gt;"",COUNTIFS('Invoice &amp; Delivery Log'!$A$8:$A$157,$B72)=0),"Invoice ID not found in the invoice log. ","")&amp;IF(COUNTIFS('Payments Log'!$A$8:$A$207,$A72)&gt;1,"Duplicate payment ID. ","")&amp;IF(N($F72)&lt;=0,"Payment amount must be greater than zero. ","")&amp;IF($E72="","Missing payment date. ","")&amp;IF(AND($E72&lt;&gt;"",$J72&lt;&gt;"",$E72&lt;$J72),"Payment dated before the invoice date. ","")&amp;IF(AND($E72&lt;&gt;"",$E72&gt;Settings!$C$5),"Payment date is in the future. ","")&amp;IF(ROUND(N($P72),2)&lt;0,"Payment exceeds the invoice balance. ","")&amp;IF($G72="","Missing payment method. ","")))</f>
        <v/>
      </c>
    </row>
    <row r="73" customFormat="false" ht="15" hidden="false" customHeight="true" outlineLevel="0" collapsed="false">
      <c r="A73" s="44"/>
      <c r="B73" s="44"/>
      <c r="C73" s="65" t="str">
        <f aca="false">IF($B73="","",IFERROR(INDEX('Invoice &amp; Delivery Log'!$B$8:$B$157,MATCH($B73,'Invoice &amp; Delivery Log'!$A$8:$A$157,0)),""))</f>
        <v/>
      </c>
      <c r="D73" s="59" t="str">
        <f aca="false">IF($B73="","",IFERROR(INDEX('Invoice &amp; Delivery Log'!$C$8:$C$157,MATCH($B73,'Invoice &amp; Delivery Log'!$A$8:$A$157,0)),"INVOICE NOT FOUND"))</f>
        <v/>
      </c>
      <c r="E73" s="56"/>
      <c r="F73" s="58"/>
      <c r="G73" s="44"/>
      <c r="H73" s="45"/>
      <c r="I73" s="45"/>
      <c r="J73" s="66" t="str">
        <f aca="false">IF($B73="","",IFERROR(INDEX('Invoice &amp; Delivery Log'!$H$8:$H$157,MATCH($B73,'Invoice &amp; Delivery Log'!$A$8:$A$157,0)),""))</f>
        <v/>
      </c>
      <c r="K73" s="66" t="str">
        <f aca="false">IF($B73="","",IFERROR(INDEX('Invoice &amp; Delivery Log'!$M$8:$M$157,MATCH($B73,'Invoice &amp; Delivery Log'!$A$8:$A$157,0)),""))</f>
        <v/>
      </c>
      <c r="L73" s="52" t="str">
        <f aca="false">IF(OR($E73="",$J73=""),"",$E73-$J73)</f>
        <v/>
      </c>
      <c r="M73" s="52" t="str">
        <f aca="false">IF(OR($E73="",$K73=""),"",$E73-$K73)</f>
        <v/>
      </c>
      <c r="N73" s="53" t="str">
        <f aca="false">IF(OR($E73="",$K73=""),"n/a",IF($E73&lt;=$K73,"On Time","Late"))</f>
        <v>n/a</v>
      </c>
      <c r="O73" s="50" t="str">
        <f aca="false">IF($B73="","",SUMIFS($F$8:$F73,$B$8:$B73,$B73))</f>
        <v/>
      </c>
      <c r="P73" s="50" t="str">
        <f aca="false">IF($B73="","",IFERROR(ROUND(INDEX('Invoice &amp; Delivery Log'!$N$8:$N$157,MATCH($B73,'Invoice &amp; Delivery Log'!$A$8:$A$157,0))-$O73,2),""))</f>
        <v/>
      </c>
      <c r="Q73" s="53" t="str">
        <f aca="false">IF($A73="","",IF($R73="","OK","REVIEW"))</f>
        <v/>
      </c>
      <c r="R73" s="62" t="str">
        <f aca="false">IF($A73="","",TRIM(IF($B73="","Missing invoice ID. ","")&amp;IF(AND($B73&lt;&gt;"",COUNTIFS('Invoice &amp; Delivery Log'!$A$8:$A$157,$B73)=0),"Invoice ID not found in the invoice log. ","")&amp;IF(COUNTIFS('Payments Log'!$A$8:$A$207,$A73)&gt;1,"Duplicate payment ID. ","")&amp;IF(N($F73)&lt;=0,"Payment amount must be greater than zero. ","")&amp;IF($E73="","Missing payment date. ","")&amp;IF(AND($E73&lt;&gt;"",$J73&lt;&gt;"",$E73&lt;$J73),"Payment dated before the invoice date. ","")&amp;IF(AND($E73&lt;&gt;"",$E73&gt;Settings!$C$5),"Payment date is in the future. ","")&amp;IF(ROUND(N($P73),2)&lt;0,"Payment exceeds the invoice balance. ","")&amp;IF($G73="","Missing payment method. ","")))</f>
        <v/>
      </c>
    </row>
    <row r="74" customFormat="false" ht="15" hidden="false" customHeight="true" outlineLevel="0" collapsed="false">
      <c r="A74" s="44"/>
      <c r="B74" s="44"/>
      <c r="C74" s="63" t="str">
        <f aca="false">IF($B74="","",IFERROR(INDEX('Invoice &amp; Delivery Log'!$B$8:$B$157,MATCH($B74,'Invoice &amp; Delivery Log'!$A$8:$A$157,0)),""))</f>
        <v/>
      </c>
      <c r="D74" s="55" t="str">
        <f aca="false">IF($B74="","",IFERROR(INDEX('Invoice &amp; Delivery Log'!$C$8:$C$157,MATCH($B74,'Invoice &amp; Delivery Log'!$A$8:$A$157,0)),"INVOICE NOT FOUND"))</f>
        <v/>
      </c>
      <c r="E74" s="56"/>
      <c r="F74" s="58"/>
      <c r="G74" s="44"/>
      <c r="H74" s="45"/>
      <c r="I74" s="45"/>
      <c r="J74" s="64" t="str">
        <f aca="false">IF($B74="","",IFERROR(INDEX('Invoice &amp; Delivery Log'!$H$8:$H$157,MATCH($B74,'Invoice &amp; Delivery Log'!$A$8:$A$157,0)),""))</f>
        <v/>
      </c>
      <c r="K74" s="64" t="str">
        <f aca="false">IF($B74="","",IFERROR(INDEX('Invoice &amp; Delivery Log'!$M$8:$M$157,MATCH($B74,'Invoice &amp; Delivery Log'!$A$8:$A$157,0)),""))</f>
        <v/>
      </c>
      <c r="L74" s="47" t="str">
        <f aca="false">IF(OR($E74="",$J74=""),"",$E74-$J74)</f>
        <v/>
      </c>
      <c r="M74" s="47" t="str">
        <f aca="false">IF(OR($E74="",$K74=""),"",$E74-$K74)</f>
        <v/>
      </c>
      <c r="N74" s="36" t="str">
        <f aca="false">IF(OR($E74="",$K74=""),"n/a",IF($E74&lt;=$K74,"On Time","Late"))</f>
        <v>n/a</v>
      </c>
      <c r="O74" s="30" t="str">
        <f aca="false">IF($B74="","",SUMIFS($F$8:$F74,$B$8:$B74,$B74))</f>
        <v/>
      </c>
      <c r="P74" s="30" t="str">
        <f aca="false">IF($B74="","",IFERROR(ROUND(INDEX('Invoice &amp; Delivery Log'!$N$8:$N$157,MATCH($B74,'Invoice &amp; Delivery Log'!$A$8:$A$157,0))-$O74,2),""))</f>
        <v/>
      </c>
      <c r="Q74" s="36" t="str">
        <f aca="false">IF($A74="","",IF($R74="","OK","REVIEW"))</f>
        <v/>
      </c>
      <c r="R74" s="28" t="str">
        <f aca="false">IF($A74="","",TRIM(IF($B74="","Missing invoice ID. ","")&amp;IF(AND($B74&lt;&gt;"",COUNTIFS('Invoice &amp; Delivery Log'!$A$8:$A$157,$B74)=0),"Invoice ID not found in the invoice log. ","")&amp;IF(COUNTIFS('Payments Log'!$A$8:$A$207,$A74)&gt;1,"Duplicate payment ID. ","")&amp;IF(N($F74)&lt;=0,"Payment amount must be greater than zero. ","")&amp;IF($E74="","Missing payment date. ","")&amp;IF(AND($E74&lt;&gt;"",$J74&lt;&gt;"",$E74&lt;$J74),"Payment dated before the invoice date. ","")&amp;IF(AND($E74&lt;&gt;"",$E74&gt;Settings!$C$5),"Payment date is in the future. ","")&amp;IF(ROUND(N($P74),2)&lt;0,"Payment exceeds the invoice balance. ","")&amp;IF($G74="","Missing payment method. ","")))</f>
        <v/>
      </c>
    </row>
    <row r="75" customFormat="false" ht="15" hidden="false" customHeight="true" outlineLevel="0" collapsed="false">
      <c r="A75" s="44"/>
      <c r="B75" s="44"/>
      <c r="C75" s="65" t="str">
        <f aca="false">IF($B75="","",IFERROR(INDEX('Invoice &amp; Delivery Log'!$B$8:$B$157,MATCH($B75,'Invoice &amp; Delivery Log'!$A$8:$A$157,0)),""))</f>
        <v/>
      </c>
      <c r="D75" s="59" t="str">
        <f aca="false">IF($B75="","",IFERROR(INDEX('Invoice &amp; Delivery Log'!$C$8:$C$157,MATCH($B75,'Invoice &amp; Delivery Log'!$A$8:$A$157,0)),"INVOICE NOT FOUND"))</f>
        <v/>
      </c>
      <c r="E75" s="56"/>
      <c r="F75" s="58"/>
      <c r="G75" s="44"/>
      <c r="H75" s="45"/>
      <c r="I75" s="45"/>
      <c r="J75" s="66" t="str">
        <f aca="false">IF($B75="","",IFERROR(INDEX('Invoice &amp; Delivery Log'!$H$8:$H$157,MATCH($B75,'Invoice &amp; Delivery Log'!$A$8:$A$157,0)),""))</f>
        <v/>
      </c>
      <c r="K75" s="66" t="str">
        <f aca="false">IF($B75="","",IFERROR(INDEX('Invoice &amp; Delivery Log'!$M$8:$M$157,MATCH($B75,'Invoice &amp; Delivery Log'!$A$8:$A$157,0)),""))</f>
        <v/>
      </c>
      <c r="L75" s="52" t="str">
        <f aca="false">IF(OR($E75="",$J75=""),"",$E75-$J75)</f>
        <v/>
      </c>
      <c r="M75" s="52" t="str">
        <f aca="false">IF(OR($E75="",$K75=""),"",$E75-$K75)</f>
        <v/>
      </c>
      <c r="N75" s="53" t="str">
        <f aca="false">IF(OR($E75="",$K75=""),"n/a",IF($E75&lt;=$K75,"On Time","Late"))</f>
        <v>n/a</v>
      </c>
      <c r="O75" s="50" t="str">
        <f aca="false">IF($B75="","",SUMIFS($F$8:$F75,$B$8:$B75,$B75))</f>
        <v/>
      </c>
      <c r="P75" s="50" t="str">
        <f aca="false">IF($B75="","",IFERROR(ROUND(INDEX('Invoice &amp; Delivery Log'!$N$8:$N$157,MATCH($B75,'Invoice &amp; Delivery Log'!$A$8:$A$157,0))-$O75,2),""))</f>
        <v/>
      </c>
      <c r="Q75" s="53" t="str">
        <f aca="false">IF($A75="","",IF($R75="","OK","REVIEW"))</f>
        <v/>
      </c>
      <c r="R75" s="62" t="str">
        <f aca="false">IF($A75="","",TRIM(IF($B75="","Missing invoice ID. ","")&amp;IF(AND($B75&lt;&gt;"",COUNTIFS('Invoice &amp; Delivery Log'!$A$8:$A$157,$B75)=0),"Invoice ID not found in the invoice log. ","")&amp;IF(COUNTIFS('Payments Log'!$A$8:$A$207,$A75)&gt;1,"Duplicate payment ID. ","")&amp;IF(N($F75)&lt;=0,"Payment amount must be greater than zero. ","")&amp;IF($E75="","Missing payment date. ","")&amp;IF(AND($E75&lt;&gt;"",$J75&lt;&gt;"",$E75&lt;$J75),"Payment dated before the invoice date. ","")&amp;IF(AND($E75&lt;&gt;"",$E75&gt;Settings!$C$5),"Payment date is in the future. ","")&amp;IF(ROUND(N($P75),2)&lt;0,"Payment exceeds the invoice balance. ","")&amp;IF($G75="","Missing payment method. ","")))</f>
        <v/>
      </c>
    </row>
    <row r="76" customFormat="false" ht="15" hidden="false" customHeight="true" outlineLevel="0" collapsed="false">
      <c r="A76" s="44"/>
      <c r="B76" s="44"/>
      <c r="C76" s="63" t="str">
        <f aca="false">IF($B76="","",IFERROR(INDEX('Invoice &amp; Delivery Log'!$B$8:$B$157,MATCH($B76,'Invoice &amp; Delivery Log'!$A$8:$A$157,0)),""))</f>
        <v/>
      </c>
      <c r="D76" s="55" t="str">
        <f aca="false">IF($B76="","",IFERROR(INDEX('Invoice &amp; Delivery Log'!$C$8:$C$157,MATCH($B76,'Invoice &amp; Delivery Log'!$A$8:$A$157,0)),"INVOICE NOT FOUND"))</f>
        <v/>
      </c>
      <c r="E76" s="56"/>
      <c r="F76" s="58"/>
      <c r="G76" s="44"/>
      <c r="H76" s="45"/>
      <c r="I76" s="45"/>
      <c r="J76" s="64" t="str">
        <f aca="false">IF($B76="","",IFERROR(INDEX('Invoice &amp; Delivery Log'!$H$8:$H$157,MATCH($B76,'Invoice &amp; Delivery Log'!$A$8:$A$157,0)),""))</f>
        <v/>
      </c>
      <c r="K76" s="64" t="str">
        <f aca="false">IF($B76="","",IFERROR(INDEX('Invoice &amp; Delivery Log'!$M$8:$M$157,MATCH($B76,'Invoice &amp; Delivery Log'!$A$8:$A$157,0)),""))</f>
        <v/>
      </c>
      <c r="L76" s="47" t="str">
        <f aca="false">IF(OR($E76="",$J76=""),"",$E76-$J76)</f>
        <v/>
      </c>
      <c r="M76" s="47" t="str">
        <f aca="false">IF(OR($E76="",$K76=""),"",$E76-$K76)</f>
        <v/>
      </c>
      <c r="N76" s="36" t="str">
        <f aca="false">IF(OR($E76="",$K76=""),"n/a",IF($E76&lt;=$K76,"On Time","Late"))</f>
        <v>n/a</v>
      </c>
      <c r="O76" s="30" t="str">
        <f aca="false">IF($B76="","",SUMIFS($F$8:$F76,$B$8:$B76,$B76))</f>
        <v/>
      </c>
      <c r="P76" s="30" t="str">
        <f aca="false">IF($B76="","",IFERROR(ROUND(INDEX('Invoice &amp; Delivery Log'!$N$8:$N$157,MATCH($B76,'Invoice &amp; Delivery Log'!$A$8:$A$157,0))-$O76,2),""))</f>
        <v/>
      </c>
      <c r="Q76" s="36" t="str">
        <f aca="false">IF($A76="","",IF($R76="","OK","REVIEW"))</f>
        <v/>
      </c>
      <c r="R76" s="28" t="str">
        <f aca="false">IF($A76="","",TRIM(IF($B76="","Missing invoice ID. ","")&amp;IF(AND($B76&lt;&gt;"",COUNTIFS('Invoice &amp; Delivery Log'!$A$8:$A$157,$B76)=0),"Invoice ID not found in the invoice log. ","")&amp;IF(COUNTIFS('Payments Log'!$A$8:$A$207,$A76)&gt;1,"Duplicate payment ID. ","")&amp;IF(N($F76)&lt;=0,"Payment amount must be greater than zero. ","")&amp;IF($E76="","Missing payment date. ","")&amp;IF(AND($E76&lt;&gt;"",$J76&lt;&gt;"",$E76&lt;$J76),"Payment dated before the invoice date. ","")&amp;IF(AND($E76&lt;&gt;"",$E76&gt;Settings!$C$5),"Payment date is in the future. ","")&amp;IF(ROUND(N($P76),2)&lt;0,"Payment exceeds the invoice balance. ","")&amp;IF($G76="","Missing payment method. ","")))</f>
        <v/>
      </c>
    </row>
    <row r="77" customFormat="false" ht="15" hidden="false" customHeight="true" outlineLevel="0" collapsed="false">
      <c r="A77" s="44"/>
      <c r="B77" s="44"/>
      <c r="C77" s="65" t="str">
        <f aca="false">IF($B77="","",IFERROR(INDEX('Invoice &amp; Delivery Log'!$B$8:$B$157,MATCH($B77,'Invoice &amp; Delivery Log'!$A$8:$A$157,0)),""))</f>
        <v/>
      </c>
      <c r="D77" s="59" t="str">
        <f aca="false">IF($B77="","",IFERROR(INDEX('Invoice &amp; Delivery Log'!$C$8:$C$157,MATCH($B77,'Invoice &amp; Delivery Log'!$A$8:$A$157,0)),"INVOICE NOT FOUND"))</f>
        <v/>
      </c>
      <c r="E77" s="56"/>
      <c r="F77" s="58"/>
      <c r="G77" s="44"/>
      <c r="H77" s="45"/>
      <c r="I77" s="45"/>
      <c r="J77" s="66" t="str">
        <f aca="false">IF($B77="","",IFERROR(INDEX('Invoice &amp; Delivery Log'!$H$8:$H$157,MATCH($B77,'Invoice &amp; Delivery Log'!$A$8:$A$157,0)),""))</f>
        <v/>
      </c>
      <c r="K77" s="66" t="str">
        <f aca="false">IF($B77="","",IFERROR(INDEX('Invoice &amp; Delivery Log'!$M$8:$M$157,MATCH($B77,'Invoice &amp; Delivery Log'!$A$8:$A$157,0)),""))</f>
        <v/>
      </c>
      <c r="L77" s="52" t="str">
        <f aca="false">IF(OR($E77="",$J77=""),"",$E77-$J77)</f>
        <v/>
      </c>
      <c r="M77" s="52" t="str">
        <f aca="false">IF(OR($E77="",$K77=""),"",$E77-$K77)</f>
        <v/>
      </c>
      <c r="N77" s="53" t="str">
        <f aca="false">IF(OR($E77="",$K77=""),"n/a",IF($E77&lt;=$K77,"On Time","Late"))</f>
        <v>n/a</v>
      </c>
      <c r="O77" s="50" t="str">
        <f aca="false">IF($B77="","",SUMIFS($F$8:$F77,$B$8:$B77,$B77))</f>
        <v/>
      </c>
      <c r="P77" s="50" t="str">
        <f aca="false">IF($B77="","",IFERROR(ROUND(INDEX('Invoice &amp; Delivery Log'!$N$8:$N$157,MATCH($B77,'Invoice &amp; Delivery Log'!$A$8:$A$157,0))-$O77,2),""))</f>
        <v/>
      </c>
      <c r="Q77" s="53" t="str">
        <f aca="false">IF($A77="","",IF($R77="","OK","REVIEW"))</f>
        <v/>
      </c>
      <c r="R77" s="62" t="str">
        <f aca="false">IF($A77="","",TRIM(IF($B77="","Missing invoice ID. ","")&amp;IF(AND($B77&lt;&gt;"",COUNTIFS('Invoice &amp; Delivery Log'!$A$8:$A$157,$B77)=0),"Invoice ID not found in the invoice log. ","")&amp;IF(COUNTIFS('Payments Log'!$A$8:$A$207,$A77)&gt;1,"Duplicate payment ID. ","")&amp;IF(N($F77)&lt;=0,"Payment amount must be greater than zero. ","")&amp;IF($E77="","Missing payment date. ","")&amp;IF(AND($E77&lt;&gt;"",$J77&lt;&gt;"",$E77&lt;$J77),"Payment dated before the invoice date. ","")&amp;IF(AND($E77&lt;&gt;"",$E77&gt;Settings!$C$5),"Payment date is in the future. ","")&amp;IF(ROUND(N($P77),2)&lt;0,"Payment exceeds the invoice balance. ","")&amp;IF($G77="","Missing payment method. ","")))</f>
        <v/>
      </c>
    </row>
    <row r="78" customFormat="false" ht="15" hidden="false" customHeight="true" outlineLevel="0" collapsed="false">
      <c r="A78" s="44"/>
      <c r="B78" s="44"/>
      <c r="C78" s="63" t="str">
        <f aca="false">IF($B78="","",IFERROR(INDEX('Invoice &amp; Delivery Log'!$B$8:$B$157,MATCH($B78,'Invoice &amp; Delivery Log'!$A$8:$A$157,0)),""))</f>
        <v/>
      </c>
      <c r="D78" s="55" t="str">
        <f aca="false">IF($B78="","",IFERROR(INDEX('Invoice &amp; Delivery Log'!$C$8:$C$157,MATCH($B78,'Invoice &amp; Delivery Log'!$A$8:$A$157,0)),"INVOICE NOT FOUND"))</f>
        <v/>
      </c>
      <c r="E78" s="56"/>
      <c r="F78" s="58"/>
      <c r="G78" s="44"/>
      <c r="H78" s="45"/>
      <c r="I78" s="45"/>
      <c r="J78" s="64" t="str">
        <f aca="false">IF($B78="","",IFERROR(INDEX('Invoice &amp; Delivery Log'!$H$8:$H$157,MATCH($B78,'Invoice &amp; Delivery Log'!$A$8:$A$157,0)),""))</f>
        <v/>
      </c>
      <c r="K78" s="64" t="str">
        <f aca="false">IF($B78="","",IFERROR(INDEX('Invoice &amp; Delivery Log'!$M$8:$M$157,MATCH($B78,'Invoice &amp; Delivery Log'!$A$8:$A$157,0)),""))</f>
        <v/>
      </c>
      <c r="L78" s="47" t="str">
        <f aca="false">IF(OR($E78="",$J78=""),"",$E78-$J78)</f>
        <v/>
      </c>
      <c r="M78" s="47" t="str">
        <f aca="false">IF(OR($E78="",$K78=""),"",$E78-$K78)</f>
        <v/>
      </c>
      <c r="N78" s="36" t="str">
        <f aca="false">IF(OR($E78="",$K78=""),"n/a",IF($E78&lt;=$K78,"On Time","Late"))</f>
        <v>n/a</v>
      </c>
      <c r="O78" s="30" t="str">
        <f aca="false">IF($B78="","",SUMIFS($F$8:$F78,$B$8:$B78,$B78))</f>
        <v/>
      </c>
      <c r="P78" s="30" t="str">
        <f aca="false">IF($B78="","",IFERROR(ROUND(INDEX('Invoice &amp; Delivery Log'!$N$8:$N$157,MATCH($B78,'Invoice &amp; Delivery Log'!$A$8:$A$157,0))-$O78,2),""))</f>
        <v/>
      </c>
      <c r="Q78" s="36" t="str">
        <f aca="false">IF($A78="","",IF($R78="","OK","REVIEW"))</f>
        <v/>
      </c>
      <c r="R78" s="28" t="str">
        <f aca="false">IF($A78="","",TRIM(IF($B78="","Missing invoice ID. ","")&amp;IF(AND($B78&lt;&gt;"",COUNTIFS('Invoice &amp; Delivery Log'!$A$8:$A$157,$B78)=0),"Invoice ID not found in the invoice log. ","")&amp;IF(COUNTIFS('Payments Log'!$A$8:$A$207,$A78)&gt;1,"Duplicate payment ID. ","")&amp;IF(N($F78)&lt;=0,"Payment amount must be greater than zero. ","")&amp;IF($E78="","Missing payment date. ","")&amp;IF(AND($E78&lt;&gt;"",$J78&lt;&gt;"",$E78&lt;$J78),"Payment dated before the invoice date. ","")&amp;IF(AND($E78&lt;&gt;"",$E78&gt;Settings!$C$5),"Payment date is in the future. ","")&amp;IF(ROUND(N($P78),2)&lt;0,"Payment exceeds the invoice balance. ","")&amp;IF($G78="","Missing payment method. ","")))</f>
        <v/>
      </c>
    </row>
    <row r="79" customFormat="false" ht="15" hidden="false" customHeight="true" outlineLevel="0" collapsed="false">
      <c r="A79" s="44"/>
      <c r="B79" s="44"/>
      <c r="C79" s="65" t="str">
        <f aca="false">IF($B79="","",IFERROR(INDEX('Invoice &amp; Delivery Log'!$B$8:$B$157,MATCH($B79,'Invoice &amp; Delivery Log'!$A$8:$A$157,0)),""))</f>
        <v/>
      </c>
      <c r="D79" s="59" t="str">
        <f aca="false">IF($B79="","",IFERROR(INDEX('Invoice &amp; Delivery Log'!$C$8:$C$157,MATCH($B79,'Invoice &amp; Delivery Log'!$A$8:$A$157,0)),"INVOICE NOT FOUND"))</f>
        <v/>
      </c>
      <c r="E79" s="56"/>
      <c r="F79" s="58"/>
      <c r="G79" s="44"/>
      <c r="H79" s="45"/>
      <c r="I79" s="45"/>
      <c r="J79" s="66" t="str">
        <f aca="false">IF($B79="","",IFERROR(INDEX('Invoice &amp; Delivery Log'!$H$8:$H$157,MATCH($B79,'Invoice &amp; Delivery Log'!$A$8:$A$157,0)),""))</f>
        <v/>
      </c>
      <c r="K79" s="66" t="str">
        <f aca="false">IF($B79="","",IFERROR(INDEX('Invoice &amp; Delivery Log'!$M$8:$M$157,MATCH($B79,'Invoice &amp; Delivery Log'!$A$8:$A$157,0)),""))</f>
        <v/>
      </c>
      <c r="L79" s="52" t="str">
        <f aca="false">IF(OR($E79="",$J79=""),"",$E79-$J79)</f>
        <v/>
      </c>
      <c r="M79" s="52" t="str">
        <f aca="false">IF(OR($E79="",$K79=""),"",$E79-$K79)</f>
        <v/>
      </c>
      <c r="N79" s="53" t="str">
        <f aca="false">IF(OR($E79="",$K79=""),"n/a",IF($E79&lt;=$K79,"On Time","Late"))</f>
        <v>n/a</v>
      </c>
      <c r="O79" s="50" t="str">
        <f aca="false">IF($B79="","",SUMIFS($F$8:$F79,$B$8:$B79,$B79))</f>
        <v/>
      </c>
      <c r="P79" s="50" t="str">
        <f aca="false">IF($B79="","",IFERROR(ROUND(INDEX('Invoice &amp; Delivery Log'!$N$8:$N$157,MATCH($B79,'Invoice &amp; Delivery Log'!$A$8:$A$157,0))-$O79,2),""))</f>
        <v/>
      </c>
      <c r="Q79" s="53" t="str">
        <f aca="false">IF($A79="","",IF($R79="","OK","REVIEW"))</f>
        <v/>
      </c>
      <c r="R79" s="62" t="str">
        <f aca="false">IF($A79="","",TRIM(IF($B79="","Missing invoice ID. ","")&amp;IF(AND($B79&lt;&gt;"",COUNTIFS('Invoice &amp; Delivery Log'!$A$8:$A$157,$B79)=0),"Invoice ID not found in the invoice log. ","")&amp;IF(COUNTIFS('Payments Log'!$A$8:$A$207,$A79)&gt;1,"Duplicate payment ID. ","")&amp;IF(N($F79)&lt;=0,"Payment amount must be greater than zero. ","")&amp;IF($E79="","Missing payment date. ","")&amp;IF(AND($E79&lt;&gt;"",$J79&lt;&gt;"",$E79&lt;$J79),"Payment dated before the invoice date. ","")&amp;IF(AND($E79&lt;&gt;"",$E79&gt;Settings!$C$5),"Payment date is in the future. ","")&amp;IF(ROUND(N($P79),2)&lt;0,"Payment exceeds the invoice balance. ","")&amp;IF($G79="","Missing payment method. ","")))</f>
        <v/>
      </c>
    </row>
    <row r="80" customFormat="false" ht="15" hidden="false" customHeight="true" outlineLevel="0" collapsed="false">
      <c r="A80" s="44"/>
      <c r="B80" s="44"/>
      <c r="C80" s="63" t="str">
        <f aca="false">IF($B80="","",IFERROR(INDEX('Invoice &amp; Delivery Log'!$B$8:$B$157,MATCH($B80,'Invoice &amp; Delivery Log'!$A$8:$A$157,0)),""))</f>
        <v/>
      </c>
      <c r="D80" s="55" t="str">
        <f aca="false">IF($B80="","",IFERROR(INDEX('Invoice &amp; Delivery Log'!$C$8:$C$157,MATCH($B80,'Invoice &amp; Delivery Log'!$A$8:$A$157,0)),"INVOICE NOT FOUND"))</f>
        <v/>
      </c>
      <c r="E80" s="56"/>
      <c r="F80" s="58"/>
      <c r="G80" s="44"/>
      <c r="H80" s="45"/>
      <c r="I80" s="45"/>
      <c r="J80" s="64" t="str">
        <f aca="false">IF($B80="","",IFERROR(INDEX('Invoice &amp; Delivery Log'!$H$8:$H$157,MATCH($B80,'Invoice &amp; Delivery Log'!$A$8:$A$157,0)),""))</f>
        <v/>
      </c>
      <c r="K80" s="64" t="str">
        <f aca="false">IF($B80="","",IFERROR(INDEX('Invoice &amp; Delivery Log'!$M$8:$M$157,MATCH($B80,'Invoice &amp; Delivery Log'!$A$8:$A$157,0)),""))</f>
        <v/>
      </c>
      <c r="L80" s="47" t="str">
        <f aca="false">IF(OR($E80="",$J80=""),"",$E80-$J80)</f>
        <v/>
      </c>
      <c r="M80" s="47" t="str">
        <f aca="false">IF(OR($E80="",$K80=""),"",$E80-$K80)</f>
        <v/>
      </c>
      <c r="N80" s="36" t="str">
        <f aca="false">IF(OR($E80="",$K80=""),"n/a",IF($E80&lt;=$K80,"On Time","Late"))</f>
        <v>n/a</v>
      </c>
      <c r="O80" s="30" t="str">
        <f aca="false">IF($B80="","",SUMIFS($F$8:$F80,$B$8:$B80,$B80))</f>
        <v/>
      </c>
      <c r="P80" s="30" t="str">
        <f aca="false">IF($B80="","",IFERROR(ROUND(INDEX('Invoice &amp; Delivery Log'!$N$8:$N$157,MATCH($B80,'Invoice &amp; Delivery Log'!$A$8:$A$157,0))-$O80,2),""))</f>
        <v/>
      </c>
      <c r="Q80" s="36" t="str">
        <f aca="false">IF($A80="","",IF($R80="","OK","REVIEW"))</f>
        <v/>
      </c>
      <c r="R80" s="28" t="str">
        <f aca="false">IF($A80="","",TRIM(IF($B80="","Missing invoice ID. ","")&amp;IF(AND($B80&lt;&gt;"",COUNTIFS('Invoice &amp; Delivery Log'!$A$8:$A$157,$B80)=0),"Invoice ID not found in the invoice log. ","")&amp;IF(COUNTIFS('Payments Log'!$A$8:$A$207,$A80)&gt;1,"Duplicate payment ID. ","")&amp;IF(N($F80)&lt;=0,"Payment amount must be greater than zero. ","")&amp;IF($E80="","Missing payment date. ","")&amp;IF(AND($E80&lt;&gt;"",$J80&lt;&gt;"",$E80&lt;$J80),"Payment dated before the invoice date. ","")&amp;IF(AND($E80&lt;&gt;"",$E80&gt;Settings!$C$5),"Payment date is in the future. ","")&amp;IF(ROUND(N($P80),2)&lt;0,"Payment exceeds the invoice balance. ","")&amp;IF($G80="","Missing payment method. ","")))</f>
        <v/>
      </c>
    </row>
    <row r="81" customFormat="false" ht="15" hidden="false" customHeight="true" outlineLevel="0" collapsed="false">
      <c r="A81" s="44"/>
      <c r="B81" s="44"/>
      <c r="C81" s="65" t="str">
        <f aca="false">IF($B81="","",IFERROR(INDEX('Invoice &amp; Delivery Log'!$B$8:$B$157,MATCH($B81,'Invoice &amp; Delivery Log'!$A$8:$A$157,0)),""))</f>
        <v/>
      </c>
      <c r="D81" s="59" t="str">
        <f aca="false">IF($B81="","",IFERROR(INDEX('Invoice &amp; Delivery Log'!$C$8:$C$157,MATCH($B81,'Invoice &amp; Delivery Log'!$A$8:$A$157,0)),"INVOICE NOT FOUND"))</f>
        <v/>
      </c>
      <c r="E81" s="56"/>
      <c r="F81" s="58"/>
      <c r="G81" s="44"/>
      <c r="H81" s="45"/>
      <c r="I81" s="45"/>
      <c r="J81" s="66" t="str">
        <f aca="false">IF($B81="","",IFERROR(INDEX('Invoice &amp; Delivery Log'!$H$8:$H$157,MATCH($B81,'Invoice &amp; Delivery Log'!$A$8:$A$157,0)),""))</f>
        <v/>
      </c>
      <c r="K81" s="66" t="str">
        <f aca="false">IF($B81="","",IFERROR(INDEX('Invoice &amp; Delivery Log'!$M$8:$M$157,MATCH($B81,'Invoice &amp; Delivery Log'!$A$8:$A$157,0)),""))</f>
        <v/>
      </c>
      <c r="L81" s="52" t="str">
        <f aca="false">IF(OR($E81="",$J81=""),"",$E81-$J81)</f>
        <v/>
      </c>
      <c r="M81" s="52" t="str">
        <f aca="false">IF(OR($E81="",$K81=""),"",$E81-$K81)</f>
        <v/>
      </c>
      <c r="N81" s="53" t="str">
        <f aca="false">IF(OR($E81="",$K81=""),"n/a",IF($E81&lt;=$K81,"On Time","Late"))</f>
        <v>n/a</v>
      </c>
      <c r="O81" s="50" t="str">
        <f aca="false">IF($B81="","",SUMIFS($F$8:$F81,$B$8:$B81,$B81))</f>
        <v/>
      </c>
      <c r="P81" s="50" t="str">
        <f aca="false">IF($B81="","",IFERROR(ROUND(INDEX('Invoice &amp; Delivery Log'!$N$8:$N$157,MATCH($B81,'Invoice &amp; Delivery Log'!$A$8:$A$157,0))-$O81,2),""))</f>
        <v/>
      </c>
      <c r="Q81" s="53" t="str">
        <f aca="false">IF($A81="","",IF($R81="","OK","REVIEW"))</f>
        <v/>
      </c>
      <c r="R81" s="62" t="str">
        <f aca="false">IF($A81="","",TRIM(IF($B81="","Missing invoice ID. ","")&amp;IF(AND($B81&lt;&gt;"",COUNTIFS('Invoice &amp; Delivery Log'!$A$8:$A$157,$B81)=0),"Invoice ID not found in the invoice log. ","")&amp;IF(COUNTIFS('Payments Log'!$A$8:$A$207,$A81)&gt;1,"Duplicate payment ID. ","")&amp;IF(N($F81)&lt;=0,"Payment amount must be greater than zero. ","")&amp;IF($E81="","Missing payment date. ","")&amp;IF(AND($E81&lt;&gt;"",$J81&lt;&gt;"",$E81&lt;$J81),"Payment dated before the invoice date. ","")&amp;IF(AND($E81&lt;&gt;"",$E81&gt;Settings!$C$5),"Payment date is in the future. ","")&amp;IF(ROUND(N($P81),2)&lt;0,"Payment exceeds the invoice balance. ","")&amp;IF($G81="","Missing payment method. ","")))</f>
        <v/>
      </c>
    </row>
    <row r="82" customFormat="false" ht="15" hidden="false" customHeight="true" outlineLevel="0" collapsed="false">
      <c r="A82" s="44"/>
      <c r="B82" s="44"/>
      <c r="C82" s="63" t="str">
        <f aca="false">IF($B82="","",IFERROR(INDEX('Invoice &amp; Delivery Log'!$B$8:$B$157,MATCH($B82,'Invoice &amp; Delivery Log'!$A$8:$A$157,0)),""))</f>
        <v/>
      </c>
      <c r="D82" s="55" t="str">
        <f aca="false">IF($B82="","",IFERROR(INDEX('Invoice &amp; Delivery Log'!$C$8:$C$157,MATCH($B82,'Invoice &amp; Delivery Log'!$A$8:$A$157,0)),"INVOICE NOT FOUND"))</f>
        <v/>
      </c>
      <c r="E82" s="56"/>
      <c r="F82" s="58"/>
      <c r="G82" s="44"/>
      <c r="H82" s="45"/>
      <c r="I82" s="45"/>
      <c r="J82" s="64" t="str">
        <f aca="false">IF($B82="","",IFERROR(INDEX('Invoice &amp; Delivery Log'!$H$8:$H$157,MATCH($B82,'Invoice &amp; Delivery Log'!$A$8:$A$157,0)),""))</f>
        <v/>
      </c>
      <c r="K82" s="64" t="str">
        <f aca="false">IF($B82="","",IFERROR(INDEX('Invoice &amp; Delivery Log'!$M$8:$M$157,MATCH($B82,'Invoice &amp; Delivery Log'!$A$8:$A$157,0)),""))</f>
        <v/>
      </c>
      <c r="L82" s="47" t="str">
        <f aca="false">IF(OR($E82="",$J82=""),"",$E82-$J82)</f>
        <v/>
      </c>
      <c r="M82" s="47" t="str">
        <f aca="false">IF(OR($E82="",$K82=""),"",$E82-$K82)</f>
        <v/>
      </c>
      <c r="N82" s="36" t="str">
        <f aca="false">IF(OR($E82="",$K82=""),"n/a",IF($E82&lt;=$K82,"On Time","Late"))</f>
        <v>n/a</v>
      </c>
      <c r="O82" s="30" t="str">
        <f aca="false">IF($B82="","",SUMIFS($F$8:$F82,$B$8:$B82,$B82))</f>
        <v/>
      </c>
      <c r="P82" s="30" t="str">
        <f aca="false">IF($B82="","",IFERROR(ROUND(INDEX('Invoice &amp; Delivery Log'!$N$8:$N$157,MATCH($B82,'Invoice &amp; Delivery Log'!$A$8:$A$157,0))-$O82,2),""))</f>
        <v/>
      </c>
      <c r="Q82" s="36" t="str">
        <f aca="false">IF($A82="","",IF($R82="","OK","REVIEW"))</f>
        <v/>
      </c>
      <c r="R82" s="28" t="str">
        <f aca="false">IF($A82="","",TRIM(IF($B82="","Missing invoice ID. ","")&amp;IF(AND($B82&lt;&gt;"",COUNTIFS('Invoice &amp; Delivery Log'!$A$8:$A$157,$B82)=0),"Invoice ID not found in the invoice log. ","")&amp;IF(COUNTIFS('Payments Log'!$A$8:$A$207,$A82)&gt;1,"Duplicate payment ID. ","")&amp;IF(N($F82)&lt;=0,"Payment amount must be greater than zero. ","")&amp;IF($E82="","Missing payment date. ","")&amp;IF(AND($E82&lt;&gt;"",$J82&lt;&gt;"",$E82&lt;$J82),"Payment dated before the invoice date. ","")&amp;IF(AND($E82&lt;&gt;"",$E82&gt;Settings!$C$5),"Payment date is in the future. ","")&amp;IF(ROUND(N($P82),2)&lt;0,"Payment exceeds the invoice balance. ","")&amp;IF($G82="","Missing payment method. ","")))</f>
        <v/>
      </c>
    </row>
    <row r="83" customFormat="false" ht="15" hidden="false" customHeight="true" outlineLevel="0" collapsed="false">
      <c r="A83" s="44"/>
      <c r="B83" s="44"/>
      <c r="C83" s="65" t="str">
        <f aca="false">IF($B83="","",IFERROR(INDEX('Invoice &amp; Delivery Log'!$B$8:$B$157,MATCH($B83,'Invoice &amp; Delivery Log'!$A$8:$A$157,0)),""))</f>
        <v/>
      </c>
      <c r="D83" s="59" t="str">
        <f aca="false">IF($B83="","",IFERROR(INDEX('Invoice &amp; Delivery Log'!$C$8:$C$157,MATCH($B83,'Invoice &amp; Delivery Log'!$A$8:$A$157,0)),"INVOICE NOT FOUND"))</f>
        <v/>
      </c>
      <c r="E83" s="56"/>
      <c r="F83" s="58"/>
      <c r="G83" s="44"/>
      <c r="H83" s="45"/>
      <c r="I83" s="45"/>
      <c r="J83" s="66" t="str">
        <f aca="false">IF($B83="","",IFERROR(INDEX('Invoice &amp; Delivery Log'!$H$8:$H$157,MATCH($B83,'Invoice &amp; Delivery Log'!$A$8:$A$157,0)),""))</f>
        <v/>
      </c>
      <c r="K83" s="66" t="str">
        <f aca="false">IF($B83="","",IFERROR(INDEX('Invoice &amp; Delivery Log'!$M$8:$M$157,MATCH($B83,'Invoice &amp; Delivery Log'!$A$8:$A$157,0)),""))</f>
        <v/>
      </c>
      <c r="L83" s="52" t="str">
        <f aca="false">IF(OR($E83="",$J83=""),"",$E83-$J83)</f>
        <v/>
      </c>
      <c r="M83" s="52" t="str">
        <f aca="false">IF(OR($E83="",$K83=""),"",$E83-$K83)</f>
        <v/>
      </c>
      <c r="N83" s="53" t="str">
        <f aca="false">IF(OR($E83="",$K83=""),"n/a",IF($E83&lt;=$K83,"On Time","Late"))</f>
        <v>n/a</v>
      </c>
      <c r="O83" s="50" t="str">
        <f aca="false">IF($B83="","",SUMIFS($F$8:$F83,$B$8:$B83,$B83))</f>
        <v/>
      </c>
      <c r="P83" s="50" t="str">
        <f aca="false">IF($B83="","",IFERROR(ROUND(INDEX('Invoice &amp; Delivery Log'!$N$8:$N$157,MATCH($B83,'Invoice &amp; Delivery Log'!$A$8:$A$157,0))-$O83,2),""))</f>
        <v/>
      </c>
      <c r="Q83" s="53" t="str">
        <f aca="false">IF($A83="","",IF($R83="","OK","REVIEW"))</f>
        <v/>
      </c>
      <c r="R83" s="62" t="str">
        <f aca="false">IF($A83="","",TRIM(IF($B83="","Missing invoice ID. ","")&amp;IF(AND($B83&lt;&gt;"",COUNTIFS('Invoice &amp; Delivery Log'!$A$8:$A$157,$B83)=0),"Invoice ID not found in the invoice log. ","")&amp;IF(COUNTIFS('Payments Log'!$A$8:$A$207,$A83)&gt;1,"Duplicate payment ID. ","")&amp;IF(N($F83)&lt;=0,"Payment amount must be greater than zero. ","")&amp;IF($E83="","Missing payment date. ","")&amp;IF(AND($E83&lt;&gt;"",$J83&lt;&gt;"",$E83&lt;$J83),"Payment dated before the invoice date. ","")&amp;IF(AND($E83&lt;&gt;"",$E83&gt;Settings!$C$5),"Payment date is in the future. ","")&amp;IF(ROUND(N($P83),2)&lt;0,"Payment exceeds the invoice balance. ","")&amp;IF($G83="","Missing payment method. ","")))</f>
        <v/>
      </c>
    </row>
    <row r="84" customFormat="false" ht="15" hidden="false" customHeight="true" outlineLevel="0" collapsed="false">
      <c r="A84" s="44"/>
      <c r="B84" s="44"/>
      <c r="C84" s="63" t="str">
        <f aca="false">IF($B84="","",IFERROR(INDEX('Invoice &amp; Delivery Log'!$B$8:$B$157,MATCH($B84,'Invoice &amp; Delivery Log'!$A$8:$A$157,0)),""))</f>
        <v/>
      </c>
      <c r="D84" s="55" t="str">
        <f aca="false">IF($B84="","",IFERROR(INDEX('Invoice &amp; Delivery Log'!$C$8:$C$157,MATCH($B84,'Invoice &amp; Delivery Log'!$A$8:$A$157,0)),"INVOICE NOT FOUND"))</f>
        <v/>
      </c>
      <c r="E84" s="56"/>
      <c r="F84" s="58"/>
      <c r="G84" s="44"/>
      <c r="H84" s="45"/>
      <c r="I84" s="45"/>
      <c r="J84" s="64" t="str">
        <f aca="false">IF($B84="","",IFERROR(INDEX('Invoice &amp; Delivery Log'!$H$8:$H$157,MATCH($B84,'Invoice &amp; Delivery Log'!$A$8:$A$157,0)),""))</f>
        <v/>
      </c>
      <c r="K84" s="64" t="str">
        <f aca="false">IF($B84="","",IFERROR(INDEX('Invoice &amp; Delivery Log'!$M$8:$M$157,MATCH($B84,'Invoice &amp; Delivery Log'!$A$8:$A$157,0)),""))</f>
        <v/>
      </c>
      <c r="L84" s="47" t="str">
        <f aca="false">IF(OR($E84="",$J84=""),"",$E84-$J84)</f>
        <v/>
      </c>
      <c r="M84" s="47" t="str">
        <f aca="false">IF(OR($E84="",$K84=""),"",$E84-$K84)</f>
        <v/>
      </c>
      <c r="N84" s="36" t="str">
        <f aca="false">IF(OR($E84="",$K84=""),"n/a",IF($E84&lt;=$K84,"On Time","Late"))</f>
        <v>n/a</v>
      </c>
      <c r="O84" s="30" t="str">
        <f aca="false">IF($B84="","",SUMIFS($F$8:$F84,$B$8:$B84,$B84))</f>
        <v/>
      </c>
      <c r="P84" s="30" t="str">
        <f aca="false">IF($B84="","",IFERROR(ROUND(INDEX('Invoice &amp; Delivery Log'!$N$8:$N$157,MATCH($B84,'Invoice &amp; Delivery Log'!$A$8:$A$157,0))-$O84,2),""))</f>
        <v/>
      </c>
      <c r="Q84" s="36" t="str">
        <f aca="false">IF($A84="","",IF($R84="","OK","REVIEW"))</f>
        <v/>
      </c>
      <c r="R84" s="28" t="str">
        <f aca="false">IF($A84="","",TRIM(IF($B84="","Missing invoice ID. ","")&amp;IF(AND($B84&lt;&gt;"",COUNTIFS('Invoice &amp; Delivery Log'!$A$8:$A$157,$B84)=0),"Invoice ID not found in the invoice log. ","")&amp;IF(COUNTIFS('Payments Log'!$A$8:$A$207,$A84)&gt;1,"Duplicate payment ID. ","")&amp;IF(N($F84)&lt;=0,"Payment amount must be greater than zero. ","")&amp;IF($E84="","Missing payment date. ","")&amp;IF(AND($E84&lt;&gt;"",$J84&lt;&gt;"",$E84&lt;$J84),"Payment dated before the invoice date. ","")&amp;IF(AND($E84&lt;&gt;"",$E84&gt;Settings!$C$5),"Payment date is in the future. ","")&amp;IF(ROUND(N($P84),2)&lt;0,"Payment exceeds the invoice balance. ","")&amp;IF($G84="","Missing payment method. ","")))</f>
        <v/>
      </c>
    </row>
    <row r="85" customFormat="false" ht="15" hidden="false" customHeight="true" outlineLevel="0" collapsed="false">
      <c r="A85" s="44"/>
      <c r="B85" s="44"/>
      <c r="C85" s="65" t="str">
        <f aca="false">IF($B85="","",IFERROR(INDEX('Invoice &amp; Delivery Log'!$B$8:$B$157,MATCH($B85,'Invoice &amp; Delivery Log'!$A$8:$A$157,0)),""))</f>
        <v/>
      </c>
      <c r="D85" s="59" t="str">
        <f aca="false">IF($B85="","",IFERROR(INDEX('Invoice &amp; Delivery Log'!$C$8:$C$157,MATCH($B85,'Invoice &amp; Delivery Log'!$A$8:$A$157,0)),"INVOICE NOT FOUND"))</f>
        <v/>
      </c>
      <c r="E85" s="56"/>
      <c r="F85" s="58"/>
      <c r="G85" s="44"/>
      <c r="H85" s="45"/>
      <c r="I85" s="45"/>
      <c r="J85" s="66" t="str">
        <f aca="false">IF($B85="","",IFERROR(INDEX('Invoice &amp; Delivery Log'!$H$8:$H$157,MATCH($B85,'Invoice &amp; Delivery Log'!$A$8:$A$157,0)),""))</f>
        <v/>
      </c>
      <c r="K85" s="66" t="str">
        <f aca="false">IF($B85="","",IFERROR(INDEX('Invoice &amp; Delivery Log'!$M$8:$M$157,MATCH($B85,'Invoice &amp; Delivery Log'!$A$8:$A$157,0)),""))</f>
        <v/>
      </c>
      <c r="L85" s="52" t="str">
        <f aca="false">IF(OR($E85="",$J85=""),"",$E85-$J85)</f>
        <v/>
      </c>
      <c r="M85" s="52" t="str">
        <f aca="false">IF(OR($E85="",$K85=""),"",$E85-$K85)</f>
        <v/>
      </c>
      <c r="N85" s="53" t="str">
        <f aca="false">IF(OR($E85="",$K85=""),"n/a",IF($E85&lt;=$K85,"On Time","Late"))</f>
        <v>n/a</v>
      </c>
      <c r="O85" s="50" t="str">
        <f aca="false">IF($B85="","",SUMIFS($F$8:$F85,$B$8:$B85,$B85))</f>
        <v/>
      </c>
      <c r="P85" s="50" t="str">
        <f aca="false">IF($B85="","",IFERROR(ROUND(INDEX('Invoice &amp; Delivery Log'!$N$8:$N$157,MATCH($B85,'Invoice &amp; Delivery Log'!$A$8:$A$157,0))-$O85,2),""))</f>
        <v/>
      </c>
      <c r="Q85" s="53" t="str">
        <f aca="false">IF($A85="","",IF($R85="","OK","REVIEW"))</f>
        <v/>
      </c>
      <c r="R85" s="62" t="str">
        <f aca="false">IF($A85="","",TRIM(IF($B85="","Missing invoice ID. ","")&amp;IF(AND($B85&lt;&gt;"",COUNTIFS('Invoice &amp; Delivery Log'!$A$8:$A$157,$B85)=0),"Invoice ID not found in the invoice log. ","")&amp;IF(COUNTIFS('Payments Log'!$A$8:$A$207,$A85)&gt;1,"Duplicate payment ID. ","")&amp;IF(N($F85)&lt;=0,"Payment amount must be greater than zero. ","")&amp;IF($E85="","Missing payment date. ","")&amp;IF(AND($E85&lt;&gt;"",$J85&lt;&gt;"",$E85&lt;$J85),"Payment dated before the invoice date. ","")&amp;IF(AND($E85&lt;&gt;"",$E85&gt;Settings!$C$5),"Payment date is in the future. ","")&amp;IF(ROUND(N($P85),2)&lt;0,"Payment exceeds the invoice balance. ","")&amp;IF($G85="","Missing payment method. ","")))</f>
        <v/>
      </c>
    </row>
    <row r="86" customFormat="false" ht="15" hidden="false" customHeight="true" outlineLevel="0" collapsed="false">
      <c r="A86" s="44"/>
      <c r="B86" s="44"/>
      <c r="C86" s="63" t="str">
        <f aca="false">IF($B86="","",IFERROR(INDEX('Invoice &amp; Delivery Log'!$B$8:$B$157,MATCH($B86,'Invoice &amp; Delivery Log'!$A$8:$A$157,0)),""))</f>
        <v/>
      </c>
      <c r="D86" s="55" t="str">
        <f aca="false">IF($B86="","",IFERROR(INDEX('Invoice &amp; Delivery Log'!$C$8:$C$157,MATCH($B86,'Invoice &amp; Delivery Log'!$A$8:$A$157,0)),"INVOICE NOT FOUND"))</f>
        <v/>
      </c>
      <c r="E86" s="56"/>
      <c r="F86" s="58"/>
      <c r="G86" s="44"/>
      <c r="H86" s="45"/>
      <c r="I86" s="45"/>
      <c r="J86" s="64" t="str">
        <f aca="false">IF($B86="","",IFERROR(INDEX('Invoice &amp; Delivery Log'!$H$8:$H$157,MATCH($B86,'Invoice &amp; Delivery Log'!$A$8:$A$157,0)),""))</f>
        <v/>
      </c>
      <c r="K86" s="64" t="str">
        <f aca="false">IF($B86="","",IFERROR(INDEX('Invoice &amp; Delivery Log'!$M$8:$M$157,MATCH($B86,'Invoice &amp; Delivery Log'!$A$8:$A$157,0)),""))</f>
        <v/>
      </c>
      <c r="L86" s="47" t="str">
        <f aca="false">IF(OR($E86="",$J86=""),"",$E86-$J86)</f>
        <v/>
      </c>
      <c r="M86" s="47" t="str">
        <f aca="false">IF(OR($E86="",$K86=""),"",$E86-$K86)</f>
        <v/>
      </c>
      <c r="N86" s="36" t="str">
        <f aca="false">IF(OR($E86="",$K86=""),"n/a",IF($E86&lt;=$K86,"On Time","Late"))</f>
        <v>n/a</v>
      </c>
      <c r="O86" s="30" t="str">
        <f aca="false">IF($B86="","",SUMIFS($F$8:$F86,$B$8:$B86,$B86))</f>
        <v/>
      </c>
      <c r="P86" s="30" t="str">
        <f aca="false">IF($B86="","",IFERROR(ROUND(INDEX('Invoice &amp; Delivery Log'!$N$8:$N$157,MATCH($B86,'Invoice &amp; Delivery Log'!$A$8:$A$157,0))-$O86,2),""))</f>
        <v/>
      </c>
      <c r="Q86" s="36" t="str">
        <f aca="false">IF($A86="","",IF($R86="","OK","REVIEW"))</f>
        <v/>
      </c>
      <c r="R86" s="28" t="str">
        <f aca="false">IF($A86="","",TRIM(IF($B86="","Missing invoice ID. ","")&amp;IF(AND($B86&lt;&gt;"",COUNTIFS('Invoice &amp; Delivery Log'!$A$8:$A$157,$B86)=0),"Invoice ID not found in the invoice log. ","")&amp;IF(COUNTIFS('Payments Log'!$A$8:$A$207,$A86)&gt;1,"Duplicate payment ID. ","")&amp;IF(N($F86)&lt;=0,"Payment amount must be greater than zero. ","")&amp;IF($E86="","Missing payment date. ","")&amp;IF(AND($E86&lt;&gt;"",$J86&lt;&gt;"",$E86&lt;$J86),"Payment dated before the invoice date. ","")&amp;IF(AND($E86&lt;&gt;"",$E86&gt;Settings!$C$5),"Payment date is in the future. ","")&amp;IF(ROUND(N($P86),2)&lt;0,"Payment exceeds the invoice balance. ","")&amp;IF($G86="","Missing payment method. ","")))</f>
        <v/>
      </c>
    </row>
    <row r="87" customFormat="false" ht="15" hidden="false" customHeight="true" outlineLevel="0" collapsed="false">
      <c r="A87" s="44"/>
      <c r="B87" s="44"/>
      <c r="C87" s="65" t="str">
        <f aca="false">IF($B87="","",IFERROR(INDEX('Invoice &amp; Delivery Log'!$B$8:$B$157,MATCH($B87,'Invoice &amp; Delivery Log'!$A$8:$A$157,0)),""))</f>
        <v/>
      </c>
      <c r="D87" s="59" t="str">
        <f aca="false">IF($B87="","",IFERROR(INDEX('Invoice &amp; Delivery Log'!$C$8:$C$157,MATCH($B87,'Invoice &amp; Delivery Log'!$A$8:$A$157,0)),"INVOICE NOT FOUND"))</f>
        <v/>
      </c>
      <c r="E87" s="56"/>
      <c r="F87" s="58"/>
      <c r="G87" s="44"/>
      <c r="H87" s="45"/>
      <c r="I87" s="45"/>
      <c r="J87" s="66" t="str">
        <f aca="false">IF($B87="","",IFERROR(INDEX('Invoice &amp; Delivery Log'!$H$8:$H$157,MATCH($B87,'Invoice &amp; Delivery Log'!$A$8:$A$157,0)),""))</f>
        <v/>
      </c>
      <c r="K87" s="66" t="str">
        <f aca="false">IF($B87="","",IFERROR(INDEX('Invoice &amp; Delivery Log'!$M$8:$M$157,MATCH($B87,'Invoice &amp; Delivery Log'!$A$8:$A$157,0)),""))</f>
        <v/>
      </c>
      <c r="L87" s="52" t="str">
        <f aca="false">IF(OR($E87="",$J87=""),"",$E87-$J87)</f>
        <v/>
      </c>
      <c r="M87" s="52" t="str">
        <f aca="false">IF(OR($E87="",$K87=""),"",$E87-$K87)</f>
        <v/>
      </c>
      <c r="N87" s="53" t="str">
        <f aca="false">IF(OR($E87="",$K87=""),"n/a",IF($E87&lt;=$K87,"On Time","Late"))</f>
        <v>n/a</v>
      </c>
      <c r="O87" s="50" t="str">
        <f aca="false">IF($B87="","",SUMIFS($F$8:$F87,$B$8:$B87,$B87))</f>
        <v/>
      </c>
      <c r="P87" s="50" t="str">
        <f aca="false">IF($B87="","",IFERROR(ROUND(INDEX('Invoice &amp; Delivery Log'!$N$8:$N$157,MATCH($B87,'Invoice &amp; Delivery Log'!$A$8:$A$157,0))-$O87,2),""))</f>
        <v/>
      </c>
      <c r="Q87" s="53" t="str">
        <f aca="false">IF($A87="","",IF($R87="","OK","REVIEW"))</f>
        <v/>
      </c>
      <c r="R87" s="62" t="str">
        <f aca="false">IF($A87="","",TRIM(IF($B87="","Missing invoice ID. ","")&amp;IF(AND($B87&lt;&gt;"",COUNTIFS('Invoice &amp; Delivery Log'!$A$8:$A$157,$B87)=0),"Invoice ID not found in the invoice log. ","")&amp;IF(COUNTIFS('Payments Log'!$A$8:$A$207,$A87)&gt;1,"Duplicate payment ID. ","")&amp;IF(N($F87)&lt;=0,"Payment amount must be greater than zero. ","")&amp;IF($E87="","Missing payment date. ","")&amp;IF(AND($E87&lt;&gt;"",$J87&lt;&gt;"",$E87&lt;$J87),"Payment dated before the invoice date. ","")&amp;IF(AND($E87&lt;&gt;"",$E87&gt;Settings!$C$5),"Payment date is in the future. ","")&amp;IF(ROUND(N($P87),2)&lt;0,"Payment exceeds the invoice balance. ","")&amp;IF($G87="","Missing payment method. ","")))</f>
        <v/>
      </c>
    </row>
    <row r="88" customFormat="false" ht="15" hidden="false" customHeight="true" outlineLevel="0" collapsed="false">
      <c r="A88" s="44"/>
      <c r="B88" s="44"/>
      <c r="C88" s="63" t="str">
        <f aca="false">IF($B88="","",IFERROR(INDEX('Invoice &amp; Delivery Log'!$B$8:$B$157,MATCH($B88,'Invoice &amp; Delivery Log'!$A$8:$A$157,0)),""))</f>
        <v/>
      </c>
      <c r="D88" s="55" t="str">
        <f aca="false">IF($B88="","",IFERROR(INDEX('Invoice &amp; Delivery Log'!$C$8:$C$157,MATCH($B88,'Invoice &amp; Delivery Log'!$A$8:$A$157,0)),"INVOICE NOT FOUND"))</f>
        <v/>
      </c>
      <c r="E88" s="56"/>
      <c r="F88" s="58"/>
      <c r="G88" s="44"/>
      <c r="H88" s="45"/>
      <c r="I88" s="45"/>
      <c r="J88" s="64" t="str">
        <f aca="false">IF($B88="","",IFERROR(INDEX('Invoice &amp; Delivery Log'!$H$8:$H$157,MATCH($B88,'Invoice &amp; Delivery Log'!$A$8:$A$157,0)),""))</f>
        <v/>
      </c>
      <c r="K88" s="64" t="str">
        <f aca="false">IF($B88="","",IFERROR(INDEX('Invoice &amp; Delivery Log'!$M$8:$M$157,MATCH($B88,'Invoice &amp; Delivery Log'!$A$8:$A$157,0)),""))</f>
        <v/>
      </c>
      <c r="L88" s="47" t="str">
        <f aca="false">IF(OR($E88="",$J88=""),"",$E88-$J88)</f>
        <v/>
      </c>
      <c r="M88" s="47" t="str">
        <f aca="false">IF(OR($E88="",$K88=""),"",$E88-$K88)</f>
        <v/>
      </c>
      <c r="N88" s="36" t="str">
        <f aca="false">IF(OR($E88="",$K88=""),"n/a",IF($E88&lt;=$K88,"On Time","Late"))</f>
        <v>n/a</v>
      </c>
      <c r="O88" s="30" t="str">
        <f aca="false">IF($B88="","",SUMIFS($F$8:$F88,$B$8:$B88,$B88))</f>
        <v/>
      </c>
      <c r="P88" s="30" t="str">
        <f aca="false">IF($B88="","",IFERROR(ROUND(INDEX('Invoice &amp; Delivery Log'!$N$8:$N$157,MATCH($B88,'Invoice &amp; Delivery Log'!$A$8:$A$157,0))-$O88,2),""))</f>
        <v/>
      </c>
      <c r="Q88" s="36" t="str">
        <f aca="false">IF($A88="","",IF($R88="","OK","REVIEW"))</f>
        <v/>
      </c>
      <c r="R88" s="28" t="str">
        <f aca="false">IF($A88="","",TRIM(IF($B88="","Missing invoice ID. ","")&amp;IF(AND($B88&lt;&gt;"",COUNTIFS('Invoice &amp; Delivery Log'!$A$8:$A$157,$B88)=0),"Invoice ID not found in the invoice log. ","")&amp;IF(COUNTIFS('Payments Log'!$A$8:$A$207,$A88)&gt;1,"Duplicate payment ID. ","")&amp;IF(N($F88)&lt;=0,"Payment amount must be greater than zero. ","")&amp;IF($E88="","Missing payment date. ","")&amp;IF(AND($E88&lt;&gt;"",$J88&lt;&gt;"",$E88&lt;$J88),"Payment dated before the invoice date. ","")&amp;IF(AND($E88&lt;&gt;"",$E88&gt;Settings!$C$5),"Payment date is in the future. ","")&amp;IF(ROUND(N($P88),2)&lt;0,"Payment exceeds the invoice balance. ","")&amp;IF($G88="","Missing payment method. ","")))</f>
        <v/>
      </c>
    </row>
    <row r="89" customFormat="false" ht="15" hidden="false" customHeight="true" outlineLevel="0" collapsed="false">
      <c r="A89" s="44"/>
      <c r="B89" s="44"/>
      <c r="C89" s="65" t="str">
        <f aca="false">IF($B89="","",IFERROR(INDEX('Invoice &amp; Delivery Log'!$B$8:$B$157,MATCH($B89,'Invoice &amp; Delivery Log'!$A$8:$A$157,0)),""))</f>
        <v/>
      </c>
      <c r="D89" s="59" t="str">
        <f aca="false">IF($B89="","",IFERROR(INDEX('Invoice &amp; Delivery Log'!$C$8:$C$157,MATCH($B89,'Invoice &amp; Delivery Log'!$A$8:$A$157,0)),"INVOICE NOT FOUND"))</f>
        <v/>
      </c>
      <c r="E89" s="56"/>
      <c r="F89" s="58"/>
      <c r="G89" s="44"/>
      <c r="H89" s="45"/>
      <c r="I89" s="45"/>
      <c r="J89" s="66" t="str">
        <f aca="false">IF($B89="","",IFERROR(INDEX('Invoice &amp; Delivery Log'!$H$8:$H$157,MATCH($B89,'Invoice &amp; Delivery Log'!$A$8:$A$157,0)),""))</f>
        <v/>
      </c>
      <c r="K89" s="66" t="str">
        <f aca="false">IF($B89="","",IFERROR(INDEX('Invoice &amp; Delivery Log'!$M$8:$M$157,MATCH($B89,'Invoice &amp; Delivery Log'!$A$8:$A$157,0)),""))</f>
        <v/>
      </c>
      <c r="L89" s="52" t="str">
        <f aca="false">IF(OR($E89="",$J89=""),"",$E89-$J89)</f>
        <v/>
      </c>
      <c r="M89" s="52" t="str">
        <f aca="false">IF(OR($E89="",$K89=""),"",$E89-$K89)</f>
        <v/>
      </c>
      <c r="N89" s="53" t="str">
        <f aca="false">IF(OR($E89="",$K89=""),"n/a",IF($E89&lt;=$K89,"On Time","Late"))</f>
        <v>n/a</v>
      </c>
      <c r="O89" s="50" t="str">
        <f aca="false">IF($B89="","",SUMIFS($F$8:$F89,$B$8:$B89,$B89))</f>
        <v/>
      </c>
      <c r="P89" s="50" t="str">
        <f aca="false">IF($B89="","",IFERROR(ROUND(INDEX('Invoice &amp; Delivery Log'!$N$8:$N$157,MATCH($B89,'Invoice &amp; Delivery Log'!$A$8:$A$157,0))-$O89,2),""))</f>
        <v/>
      </c>
      <c r="Q89" s="53" t="str">
        <f aca="false">IF($A89="","",IF($R89="","OK","REVIEW"))</f>
        <v/>
      </c>
      <c r="R89" s="62" t="str">
        <f aca="false">IF($A89="","",TRIM(IF($B89="","Missing invoice ID. ","")&amp;IF(AND($B89&lt;&gt;"",COUNTIFS('Invoice &amp; Delivery Log'!$A$8:$A$157,$B89)=0),"Invoice ID not found in the invoice log. ","")&amp;IF(COUNTIFS('Payments Log'!$A$8:$A$207,$A89)&gt;1,"Duplicate payment ID. ","")&amp;IF(N($F89)&lt;=0,"Payment amount must be greater than zero. ","")&amp;IF($E89="","Missing payment date. ","")&amp;IF(AND($E89&lt;&gt;"",$J89&lt;&gt;"",$E89&lt;$J89),"Payment dated before the invoice date. ","")&amp;IF(AND($E89&lt;&gt;"",$E89&gt;Settings!$C$5),"Payment date is in the future. ","")&amp;IF(ROUND(N($P89),2)&lt;0,"Payment exceeds the invoice balance. ","")&amp;IF($G89="","Missing payment method. ","")))</f>
        <v/>
      </c>
    </row>
    <row r="90" customFormat="false" ht="15" hidden="false" customHeight="true" outlineLevel="0" collapsed="false">
      <c r="A90" s="44"/>
      <c r="B90" s="44"/>
      <c r="C90" s="63" t="str">
        <f aca="false">IF($B90="","",IFERROR(INDEX('Invoice &amp; Delivery Log'!$B$8:$B$157,MATCH($B90,'Invoice &amp; Delivery Log'!$A$8:$A$157,0)),""))</f>
        <v/>
      </c>
      <c r="D90" s="55" t="str">
        <f aca="false">IF($B90="","",IFERROR(INDEX('Invoice &amp; Delivery Log'!$C$8:$C$157,MATCH($B90,'Invoice &amp; Delivery Log'!$A$8:$A$157,0)),"INVOICE NOT FOUND"))</f>
        <v/>
      </c>
      <c r="E90" s="56"/>
      <c r="F90" s="58"/>
      <c r="G90" s="44"/>
      <c r="H90" s="45"/>
      <c r="I90" s="45"/>
      <c r="J90" s="64" t="str">
        <f aca="false">IF($B90="","",IFERROR(INDEX('Invoice &amp; Delivery Log'!$H$8:$H$157,MATCH($B90,'Invoice &amp; Delivery Log'!$A$8:$A$157,0)),""))</f>
        <v/>
      </c>
      <c r="K90" s="64" t="str">
        <f aca="false">IF($B90="","",IFERROR(INDEX('Invoice &amp; Delivery Log'!$M$8:$M$157,MATCH($B90,'Invoice &amp; Delivery Log'!$A$8:$A$157,0)),""))</f>
        <v/>
      </c>
      <c r="L90" s="47" t="str">
        <f aca="false">IF(OR($E90="",$J90=""),"",$E90-$J90)</f>
        <v/>
      </c>
      <c r="M90" s="47" t="str">
        <f aca="false">IF(OR($E90="",$K90=""),"",$E90-$K90)</f>
        <v/>
      </c>
      <c r="N90" s="36" t="str">
        <f aca="false">IF(OR($E90="",$K90=""),"n/a",IF($E90&lt;=$K90,"On Time","Late"))</f>
        <v>n/a</v>
      </c>
      <c r="O90" s="30" t="str">
        <f aca="false">IF($B90="","",SUMIFS($F$8:$F90,$B$8:$B90,$B90))</f>
        <v/>
      </c>
      <c r="P90" s="30" t="str">
        <f aca="false">IF($B90="","",IFERROR(ROUND(INDEX('Invoice &amp; Delivery Log'!$N$8:$N$157,MATCH($B90,'Invoice &amp; Delivery Log'!$A$8:$A$157,0))-$O90,2),""))</f>
        <v/>
      </c>
      <c r="Q90" s="36" t="str">
        <f aca="false">IF($A90="","",IF($R90="","OK","REVIEW"))</f>
        <v/>
      </c>
      <c r="R90" s="28" t="str">
        <f aca="false">IF($A90="","",TRIM(IF($B90="","Missing invoice ID. ","")&amp;IF(AND($B90&lt;&gt;"",COUNTIFS('Invoice &amp; Delivery Log'!$A$8:$A$157,$B90)=0),"Invoice ID not found in the invoice log. ","")&amp;IF(COUNTIFS('Payments Log'!$A$8:$A$207,$A90)&gt;1,"Duplicate payment ID. ","")&amp;IF(N($F90)&lt;=0,"Payment amount must be greater than zero. ","")&amp;IF($E90="","Missing payment date. ","")&amp;IF(AND($E90&lt;&gt;"",$J90&lt;&gt;"",$E90&lt;$J90),"Payment dated before the invoice date. ","")&amp;IF(AND($E90&lt;&gt;"",$E90&gt;Settings!$C$5),"Payment date is in the future. ","")&amp;IF(ROUND(N($P90),2)&lt;0,"Payment exceeds the invoice balance. ","")&amp;IF($G90="","Missing payment method. ","")))</f>
        <v/>
      </c>
    </row>
    <row r="91" customFormat="false" ht="15" hidden="false" customHeight="true" outlineLevel="0" collapsed="false">
      <c r="A91" s="44"/>
      <c r="B91" s="44"/>
      <c r="C91" s="65" t="str">
        <f aca="false">IF($B91="","",IFERROR(INDEX('Invoice &amp; Delivery Log'!$B$8:$B$157,MATCH($B91,'Invoice &amp; Delivery Log'!$A$8:$A$157,0)),""))</f>
        <v/>
      </c>
      <c r="D91" s="59" t="str">
        <f aca="false">IF($B91="","",IFERROR(INDEX('Invoice &amp; Delivery Log'!$C$8:$C$157,MATCH($B91,'Invoice &amp; Delivery Log'!$A$8:$A$157,0)),"INVOICE NOT FOUND"))</f>
        <v/>
      </c>
      <c r="E91" s="56"/>
      <c r="F91" s="58"/>
      <c r="G91" s="44"/>
      <c r="H91" s="45"/>
      <c r="I91" s="45"/>
      <c r="J91" s="66" t="str">
        <f aca="false">IF($B91="","",IFERROR(INDEX('Invoice &amp; Delivery Log'!$H$8:$H$157,MATCH($B91,'Invoice &amp; Delivery Log'!$A$8:$A$157,0)),""))</f>
        <v/>
      </c>
      <c r="K91" s="66" t="str">
        <f aca="false">IF($B91="","",IFERROR(INDEX('Invoice &amp; Delivery Log'!$M$8:$M$157,MATCH($B91,'Invoice &amp; Delivery Log'!$A$8:$A$157,0)),""))</f>
        <v/>
      </c>
      <c r="L91" s="52" t="str">
        <f aca="false">IF(OR($E91="",$J91=""),"",$E91-$J91)</f>
        <v/>
      </c>
      <c r="M91" s="52" t="str">
        <f aca="false">IF(OR($E91="",$K91=""),"",$E91-$K91)</f>
        <v/>
      </c>
      <c r="N91" s="53" t="str">
        <f aca="false">IF(OR($E91="",$K91=""),"n/a",IF($E91&lt;=$K91,"On Time","Late"))</f>
        <v>n/a</v>
      </c>
      <c r="O91" s="50" t="str">
        <f aca="false">IF($B91="","",SUMIFS($F$8:$F91,$B$8:$B91,$B91))</f>
        <v/>
      </c>
      <c r="P91" s="50" t="str">
        <f aca="false">IF($B91="","",IFERROR(ROUND(INDEX('Invoice &amp; Delivery Log'!$N$8:$N$157,MATCH($B91,'Invoice &amp; Delivery Log'!$A$8:$A$157,0))-$O91,2),""))</f>
        <v/>
      </c>
      <c r="Q91" s="53" t="str">
        <f aca="false">IF($A91="","",IF($R91="","OK","REVIEW"))</f>
        <v/>
      </c>
      <c r="R91" s="62" t="str">
        <f aca="false">IF($A91="","",TRIM(IF($B91="","Missing invoice ID. ","")&amp;IF(AND($B91&lt;&gt;"",COUNTIFS('Invoice &amp; Delivery Log'!$A$8:$A$157,$B91)=0),"Invoice ID not found in the invoice log. ","")&amp;IF(COUNTIFS('Payments Log'!$A$8:$A$207,$A91)&gt;1,"Duplicate payment ID. ","")&amp;IF(N($F91)&lt;=0,"Payment amount must be greater than zero. ","")&amp;IF($E91="","Missing payment date. ","")&amp;IF(AND($E91&lt;&gt;"",$J91&lt;&gt;"",$E91&lt;$J91),"Payment dated before the invoice date. ","")&amp;IF(AND($E91&lt;&gt;"",$E91&gt;Settings!$C$5),"Payment date is in the future. ","")&amp;IF(ROUND(N($P91),2)&lt;0,"Payment exceeds the invoice balance. ","")&amp;IF($G91="","Missing payment method. ","")))</f>
        <v/>
      </c>
    </row>
    <row r="92" customFormat="false" ht="15" hidden="false" customHeight="true" outlineLevel="0" collapsed="false">
      <c r="A92" s="44"/>
      <c r="B92" s="44"/>
      <c r="C92" s="63" t="str">
        <f aca="false">IF($B92="","",IFERROR(INDEX('Invoice &amp; Delivery Log'!$B$8:$B$157,MATCH($B92,'Invoice &amp; Delivery Log'!$A$8:$A$157,0)),""))</f>
        <v/>
      </c>
      <c r="D92" s="55" t="str">
        <f aca="false">IF($B92="","",IFERROR(INDEX('Invoice &amp; Delivery Log'!$C$8:$C$157,MATCH($B92,'Invoice &amp; Delivery Log'!$A$8:$A$157,0)),"INVOICE NOT FOUND"))</f>
        <v/>
      </c>
      <c r="E92" s="56"/>
      <c r="F92" s="58"/>
      <c r="G92" s="44"/>
      <c r="H92" s="45"/>
      <c r="I92" s="45"/>
      <c r="J92" s="64" t="str">
        <f aca="false">IF($B92="","",IFERROR(INDEX('Invoice &amp; Delivery Log'!$H$8:$H$157,MATCH($B92,'Invoice &amp; Delivery Log'!$A$8:$A$157,0)),""))</f>
        <v/>
      </c>
      <c r="K92" s="64" t="str">
        <f aca="false">IF($B92="","",IFERROR(INDEX('Invoice &amp; Delivery Log'!$M$8:$M$157,MATCH($B92,'Invoice &amp; Delivery Log'!$A$8:$A$157,0)),""))</f>
        <v/>
      </c>
      <c r="L92" s="47" t="str">
        <f aca="false">IF(OR($E92="",$J92=""),"",$E92-$J92)</f>
        <v/>
      </c>
      <c r="M92" s="47" t="str">
        <f aca="false">IF(OR($E92="",$K92=""),"",$E92-$K92)</f>
        <v/>
      </c>
      <c r="N92" s="36" t="str">
        <f aca="false">IF(OR($E92="",$K92=""),"n/a",IF($E92&lt;=$K92,"On Time","Late"))</f>
        <v>n/a</v>
      </c>
      <c r="O92" s="30" t="str">
        <f aca="false">IF($B92="","",SUMIFS($F$8:$F92,$B$8:$B92,$B92))</f>
        <v/>
      </c>
      <c r="P92" s="30" t="str">
        <f aca="false">IF($B92="","",IFERROR(ROUND(INDEX('Invoice &amp; Delivery Log'!$N$8:$N$157,MATCH($B92,'Invoice &amp; Delivery Log'!$A$8:$A$157,0))-$O92,2),""))</f>
        <v/>
      </c>
      <c r="Q92" s="36" t="str">
        <f aca="false">IF($A92="","",IF($R92="","OK","REVIEW"))</f>
        <v/>
      </c>
      <c r="R92" s="28" t="str">
        <f aca="false">IF($A92="","",TRIM(IF($B92="","Missing invoice ID. ","")&amp;IF(AND($B92&lt;&gt;"",COUNTIFS('Invoice &amp; Delivery Log'!$A$8:$A$157,$B92)=0),"Invoice ID not found in the invoice log. ","")&amp;IF(COUNTIFS('Payments Log'!$A$8:$A$207,$A92)&gt;1,"Duplicate payment ID. ","")&amp;IF(N($F92)&lt;=0,"Payment amount must be greater than zero. ","")&amp;IF($E92="","Missing payment date. ","")&amp;IF(AND($E92&lt;&gt;"",$J92&lt;&gt;"",$E92&lt;$J92),"Payment dated before the invoice date. ","")&amp;IF(AND($E92&lt;&gt;"",$E92&gt;Settings!$C$5),"Payment date is in the future. ","")&amp;IF(ROUND(N($P92),2)&lt;0,"Payment exceeds the invoice balance. ","")&amp;IF($G92="","Missing payment method. ","")))</f>
        <v/>
      </c>
    </row>
    <row r="93" customFormat="false" ht="15" hidden="false" customHeight="true" outlineLevel="0" collapsed="false">
      <c r="A93" s="44"/>
      <c r="B93" s="44"/>
      <c r="C93" s="65" t="str">
        <f aca="false">IF($B93="","",IFERROR(INDEX('Invoice &amp; Delivery Log'!$B$8:$B$157,MATCH($B93,'Invoice &amp; Delivery Log'!$A$8:$A$157,0)),""))</f>
        <v/>
      </c>
      <c r="D93" s="59" t="str">
        <f aca="false">IF($B93="","",IFERROR(INDEX('Invoice &amp; Delivery Log'!$C$8:$C$157,MATCH($B93,'Invoice &amp; Delivery Log'!$A$8:$A$157,0)),"INVOICE NOT FOUND"))</f>
        <v/>
      </c>
      <c r="E93" s="56"/>
      <c r="F93" s="58"/>
      <c r="G93" s="44"/>
      <c r="H93" s="45"/>
      <c r="I93" s="45"/>
      <c r="J93" s="66" t="str">
        <f aca="false">IF($B93="","",IFERROR(INDEX('Invoice &amp; Delivery Log'!$H$8:$H$157,MATCH($B93,'Invoice &amp; Delivery Log'!$A$8:$A$157,0)),""))</f>
        <v/>
      </c>
      <c r="K93" s="66" t="str">
        <f aca="false">IF($B93="","",IFERROR(INDEX('Invoice &amp; Delivery Log'!$M$8:$M$157,MATCH($B93,'Invoice &amp; Delivery Log'!$A$8:$A$157,0)),""))</f>
        <v/>
      </c>
      <c r="L93" s="52" t="str">
        <f aca="false">IF(OR($E93="",$J93=""),"",$E93-$J93)</f>
        <v/>
      </c>
      <c r="M93" s="52" t="str">
        <f aca="false">IF(OR($E93="",$K93=""),"",$E93-$K93)</f>
        <v/>
      </c>
      <c r="N93" s="53" t="str">
        <f aca="false">IF(OR($E93="",$K93=""),"n/a",IF($E93&lt;=$K93,"On Time","Late"))</f>
        <v>n/a</v>
      </c>
      <c r="O93" s="50" t="str">
        <f aca="false">IF($B93="","",SUMIFS($F$8:$F93,$B$8:$B93,$B93))</f>
        <v/>
      </c>
      <c r="P93" s="50" t="str">
        <f aca="false">IF($B93="","",IFERROR(ROUND(INDEX('Invoice &amp; Delivery Log'!$N$8:$N$157,MATCH($B93,'Invoice &amp; Delivery Log'!$A$8:$A$157,0))-$O93,2),""))</f>
        <v/>
      </c>
      <c r="Q93" s="53" t="str">
        <f aca="false">IF($A93="","",IF($R93="","OK","REVIEW"))</f>
        <v/>
      </c>
      <c r="R93" s="62" t="str">
        <f aca="false">IF($A93="","",TRIM(IF($B93="","Missing invoice ID. ","")&amp;IF(AND($B93&lt;&gt;"",COUNTIFS('Invoice &amp; Delivery Log'!$A$8:$A$157,$B93)=0),"Invoice ID not found in the invoice log. ","")&amp;IF(COUNTIFS('Payments Log'!$A$8:$A$207,$A93)&gt;1,"Duplicate payment ID. ","")&amp;IF(N($F93)&lt;=0,"Payment amount must be greater than zero. ","")&amp;IF($E93="","Missing payment date. ","")&amp;IF(AND($E93&lt;&gt;"",$J93&lt;&gt;"",$E93&lt;$J93),"Payment dated before the invoice date. ","")&amp;IF(AND($E93&lt;&gt;"",$E93&gt;Settings!$C$5),"Payment date is in the future. ","")&amp;IF(ROUND(N($P93),2)&lt;0,"Payment exceeds the invoice balance. ","")&amp;IF($G93="","Missing payment method. ","")))</f>
        <v/>
      </c>
    </row>
    <row r="94" customFormat="false" ht="15" hidden="false" customHeight="true" outlineLevel="0" collapsed="false">
      <c r="A94" s="44"/>
      <c r="B94" s="44"/>
      <c r="C94" s="63" t="str">
        <f aca="false">IF($B94="","",IFERROR(INDEX('Invoice &amp; Delivery Log'!$B$8:$B$157,MATCH($B94,'Invoice &amp; Delivery Log'!$A$8:$A$157,0)),""))</f>
        <v/>
      </c>
      <c r="D94" s="55" t="str">
        <f aca="false">IF($B94="","",IFERROR(INDEX('Invoice &amp; Delivery Log'!$C$8:$C$157,MATCH($B94,'Invoice &amp; Delivery Log'!$A$8:$A$157,0)),"INVOICE NOT FOUND"))</f>
        <v/>
      </c>
      <c r="E94" s="56"/>
      <c r="F94" s="58"/>
      <c r="G94" s="44"/>
      <c r="H94" s="45"/>
      <c r="I94" s="45"/>
      <c r="J94" s="64" t="str">
        <f aca="false">IF($B94="","",IFERROR(INDEX('Invoice &amp; Delivery Log'!$H$8:$H$157,MATCH($B94,'Invoice &amp; Delivery Log'!$A$8:$A$157,0)),""))</f>
        <v/>
      </c>
      <c r="K94" s="64" t="str">
        <f aca="false">IF($B94="","",IFERROR(INDEX('Invoice &amp; Delivery Log'!$M$8:$M$157,MATCH($B94,'Invoice &amp; Delivery Log'!$A$8:$A$157,0)),""))</f>
        <v/>
      </c>
      <c r="L94" s="47" t="str">
        <f aca="false">IF(OR($E94="",$J94=""),"",$E94-$J94)</f>
        <v/>
      </c>
      <c r="M94" s="47" t="str">
        <f aca="false">IF(OR($E94="",$K94=""),"",$E94-$K94)</f>
        <v/>
      </c>
      <c r="N94" s="36" t="str">
        <f aca="false">IF(OR($E94="",$K94=""),"n/a",IF($E94&lt;=$K94,"On Time","Late"))</f>
        <v>n/a</v>
      </c>
      <c r="O94" s="30" t="str">
        <f aca="false">IF($B94="","",SUMIFS($F$8:$F94,$B$8:$B94,$B94))</f>
        <v/>
      </c>
      <c r="P94" s="30" t="str">
        <f aca="false">IF($B94="","",IFERROR(ROUND(INDEX('Invoice &amp; Delivery Log'!$N$8:$N$157,MATCH($B94,'Invoice &amp; Delivery Log'!$A$8:$A$157,0))-$O94,2),""))</f>
        <v/>
      </c>
      <c r="Q94" s="36" t="str">
        <f aca="false">IF($A94="","",IF($R94="","OK","REVIEW"))</f>
        <v/>
      </c>
      <c r="R94" s="28" t="str">
        <f aca="false">IF($A94="","",TRIM(IF($B94="","Missing invoice ID. ","")&amp;IF(AND($B94&lt;&gt;"",COUNTIFS('Invoice &amp; Delivery Log'!$A$8:$A$157,$B94)=0),"Invoice ID not found in the invoice log. ","")&amp;IF(COUNTIFS('Payments Log'!$A$8:$A$207,$A94)&gt;1,"Duplicate payment ID. ","")&amp;IF(N($F94)&lt;=0,"Payment amount must be greater than zero. ","")&amp;IF($E94="","Missing payment date. ","")&amp;IF(AND($E94&lt;&gt;"",$J94&lt;&gt;"",$E94&lt;$J94),"Payment dated before the invoice date. ","")&amp;IF(AND($E94&lt;&gt;"",$E94&gt;Settings!$C$5),"Payment date is in the future. ","")&amp;IF(ROUND(N($P94),2)&lt;0,"Payment exceeds the invoice balance. ","")&amp;IF($G94="","Missing payment method. ","")))</f>
        <v/>
      </c>
    </row>
    <row r="95" customFormat="false" ht="15" hidden="false" customHeight="true" outlineLevel="0" collapsed="false">
      <c r="A95" s="44"/>
      <c r="B95" s="44"/>
      <c r="C95" s="65" t="str">
        <f aca="false">IF($B95="","",IFERROR(INDEX('Invoice &amp; Delivery Log'!$B$8:$B$157,MATCH($B95,'Invoice &amp; Delivery Log'!$A$8:$A$157,0)),""))</f>
        <v/>
      </c>
      <c r="D95" s="59" t="str">
        <f aca="false">IF($B95="","",IFERROR(INDEX('Invoice &amp; Delivery Log'!$C$8:$C$157,MATCH($B95,'Invoice &amp; Delivery Log'!$A$8:$A$157,0)),"INVOICE NOT FOUND"))</f>
        <v/>
      </c>
      <c r="E95" s="56"/>
      <c r="F95" s="58"/>
      <c r="G95" s="44"/>
      <c r="H95" s="45"/>
      <c r="I95" s="45"/>
      <c r="J95" s="66" t="str">
        <f aca="false">IF($B95="","",IFERROR(INDEX('Invoice &amp; Delivery Log'!$H$8:$H$157,MATCH($B95,'Invoice &amp; Delivery Log'!$A$8:$A$157,0)),""))</f>
        <v/>
      </c>
      <c r="K95" s="66" t="str">
        <f aca="false">IF($B95="","",IFERROR(INDEX('Invoice &amp; Delivery Log'!$M$8:$M$157,MATCH($B95,'Invoice &amp; Delivery Log'!$A$8:$A$157,0)),""))</f>
        <v/>
      </c>
      <c r="L95" s="52" t="str">
        <f aca="false">IF(OR($E95="",$J95=""),"",$E95-$J95)</f>
        <v/>
      </c>
      <c r="M95" s="52" t="str">
        <f aca="false">IF(OR($E95="",$K95=""),"",$E95-$K95)</f>
        <v/>
      </c>
      <c r="N95" s="53" t="str">
        <f aca="false">IF(OR($E95="",$K95=""),"n/a",IF($E95&lt;=$K95,"On Time","Late"))</f>
        <v>n/a</v>
      </c>
      <c r="O95" s="50" t="str">
        <f aca="false">IF($B95="","",SUMIFS($F$8:$F95,$B$8:$B95,$B95))</f>
        <v/>
      </c>
      <c r="P95" s="50" t="str">
        <f aca="false">IF($B95="","",IFERROR(ROUND(INDEX('Invoice &amp; Delivery Log'!$N$8:$N$157,MATCH($B95,'Invoice &amp; Delivery Log'!$A$8:$A$157,0))-$O95,2),""))</f>
        <v/>
      </c>
      <c r="Q95" s="53" t="str">
        <f aca="false">IF($A95="","",IF($R95="","OK","REVIEW"))</f>
        <v/>
      </c>
      <c r="R95" s="62" t="str">
        <f aca="false">IF($A95="","",TRIM(IF($B95="","Missing invoice ID. ","")&amp;IF(AND($B95&lt;&gt;"",COUNTIFS('Invoice &amp; Delivery Log'!$A$8:$A$157,$B95)=0),"Invoice ID not found in the invoice log. ","")&amp;IF(COUNTIFS('Payments Log'!$A$8:$A$207,$A95)&gt;1,"Duplicate payment ID. ","")&amp;IF(N($F95)&lt;=0,"Payment amount must be greater than zero. ","")&amp;IF($E95="","Missing payment date. ","")&amp;IF(AND($E95&lt;&gt;"",$J95&lt;&gt;"",$E95&lt;$J95),"Payment dated before the invoice date. ","")&amp;IF(AND($E95&lt;&gt;"",$E95&gt;Settings!$C$5),"Payment date is in the future. ","")&amp;IF(ROUND(N($P95),2)&lt;0,"Payment exceeds the invoice balance. ","")&amp;IF($G95="","Missing payment method. ","")))</f>
        <v/>
      </c>
    </row>
    <row r="96" customFormat="false" ht="15" hidden="false" customHeight="true" outlineLevel="0" collapsed="false">
      <c r="A96" s="44"/>
      <c r="B96" s="44"/>
      <c r="C96" s="63" t="str">
        <f aca="false">IF($B96="","",IFERROR(INDEX('Invoice &amp; Delivery Log'!$B$8:$B$157,MATCH($B96,'Invoice &amp; Delivery Log'!$A$8:$A$157,0)),""))</f>
        <v/>
      </c>
      <c r="D96" s="55" t="str">
        <f aca="false">IF($B96="","",IFERROR(INDEX('Invoice &amp; Delivery Log'!$C$8:$C$157,MATCH($B96,'Invoice &amp; Delivery Log'!$A$8:$A$157,0)),"INVOICE NOT FOUND"))</f>
        <v/>
      </c>
      <c r="E96" s="56"/>
      <c r="F96" s="58"/>
      <c r="G96" s="44"/>
      <c r="H96" s="45"/>
      <c r="I96" s="45"/>
      <c r="J96" s="64" t="str">
        <f aca="false">IF($B96="","",IFERROR(INDEX('Invoice &amp; Delivery Log'!$H$8:$H$157,MATCH($B96,'Invoice &amp; Delivery Log'!$A$8:$A$157,0)),""))</f>
        <v/>
      </c>
      <c r="K96" s="64" t="str">
        <f aca="false">IF($B96="","",IFERROR(INDEX('Invoice &amp; Delivery Log'!$M$8:$M$157,MATCH($B96,'Invoice &amp; Delivery Log'!$A$8:$A$157,0)),""))</f>
        <v/>
      </c>
      <c r="L96" s="47" t="str">
        <f aca="false">IF(OR($E96="",$J96=""),"",$E96-$J96)</f>
        <v/>
      </c>
      <c r="M96" s="47" t="str">
        <f aca="false">IF(OR($E96="",$K96=""),"",$E96-$K96)</f>
        <v/>
      </c>
      <c r="N96" s="36" t="str">
        <f aca="false">IF(OR($E96="",$K96=""),"n/a",IF($E96&lt;=$K96,"On Time","Late"))</f>
        <v>n/a</v>
      </c>
      <c r="O96" s="30" t="str">
        <f aca="false">IF($B96="","",SUMIFS($F$8:$F96,$B$8:$B96,$B96))</f>
        <v/>
      </c>
      <c r="P96" s="30" t="str">
        <f aca="false">IF($B96="","",IFERROR(ROUND(INDEX('Invoice &amp; Delivery Log'!$N$8:$N$157,MATCH($B96,'Invoice &amp; Delivery Log'!$A$8:$A$157,0))-$O96,2),""))</f>
        <v/>
      </c>
      <c r="Q96" s="36" t="str">
        <f aca="false">IF($A96="","",IF($R96="","OK","REVIEW"))</f>
        <v/>
      </c>
      <c r="R96" s="28" t="str">
        <f aca="false">IF($A96="","",TRIM(IF($B96="","Missing invoice ID. ","")&amp;IF(AND($B96&lt;&gt;"",COUNTIFS('Invoice &amp; Delivery Log'!$A$8:$A$157,$B96)=0),"Invoice ID not found in the invoice log. ","")&amp;IF(COUNTIFS('Payments Log'!$A$8:$A$207,$A96)&gt;1,"Duplicate payment ID. ","")&amp;IF(N($F96)&lt;=0,"Payment amount must be greater than zero. ","")&amp;IF($E96="","Missing payment date. ","")&amp;IF(AND($E96&lt;&gt;"",$J96&lt;&gt;"",$E96&lt;$J96),"Payment dated before the invoice date. ","")&amp;IF(AND($E96&lt;&gt;"",$E96&gt;Settings!$C$5),"Payment date is in the future. ","")&amp;IF(ROUND(N($P96),2)&lt;0,"Payment exceeds the invoice balance. ","")&amp;IF($G96="","Missing payment method. ","")))</f>
        <v/>
      </c>
    </row>
    <row r="97" customFormat="false" ht="15" hidden="false" customHeight="true" outlineLevel="0" collapsed="false">
      <c r="A97" s="44"/>
      <c r="B97" s="44"/>
      <c r="C97" s="65" t="str">
        <f aca="false">IF($B97="","",IFERROR(INDEX('Invoice &amp; Delivery Log'!$B$8:$B$157,MATCH($B97,'Invoice &amp; Delivery Log'!$A$8:$A$157,0)),""))</f>
        <v/>
      </c>
      <c r="D97" s="59" t="str">
        <f aca="false">IF($B97="","",IFERROR(INDEX('Invoice &amp; Delivery Log'!$C$8:$C$157,MATCH($B97,'Invoice &amp; Delivery Log'!$A$8:$A$157,0)),"INVOICE NOT FOUND"))</f>
        <v/>
      </c>
      <c r="E97" s="56"/>
      <c r="F97" s="58"/>
      <c r="G97" s="44"/>
      <c r="H97" s="45"/>
      <c r="I97" s="45"/>
      <c r="J97" s="66" t="str">
        <f aca="false">IF($B97="","",IFERROR(INDEX('Invoice &amp; Delivery Log'!$H$8:$H$157,MATCH($B97,'Invoice &amp; Delivery Log'!$A$8:$A$157,0)),""))</f>
        <v/>
      </c>
      <c r="K97" s="66" t="str">
        <f aca="false">IF($B97="","",IFERROR(INDEX('Invoice &amp; Delivery Log'!$M$8:$M$157,MATCH($B97,'Invoice &amp; Delivery Log'!$A$8:$A$157,0)),""))</f>
        <v/>
      </c>
      <c r="L97" s="52" t="str">
        <f aca="false">IF(OR($E97="",$J97=""),"",$E97-$J97)</f>
        <v/>
      </c>
      <c r="M97" s="52" t="str">
        <f aca="false">IF(OR($E97="",$K97=""),"",$E97-$K97)</f>
        <v/>
      </c>
      <c r="N97" s="53" t="str">
        <f aca="false">IF(OR($E97="",$K97=""),"n/a",IF($E97&lt;=$K97,"On Time","Late"))</f>
        <v>n/a</v>
      </c>
      <c r="O97" s="50" t="str">
        <f aca="false">IF($B97="","",SUMIFS($F$8:$F97,$B$8:$B97,$B97))</f>
        <v/>
      </c>
      <c r="P97" s="50" t="str">
        <f aca="false">IF($B97="","",IFERROR(ROUND(INDEX('Invoice &amp; Delivery Log'!$N$8:$N$157,MATCH($B97,'Invoice &amp; Delivery Log'!$A$8:$A$157,0))-$O97,2),""))</f>
        <v/>
      </c>
      <c r="Q97" s="53" t="str">
        <f aca="false">IF($A97="","",IF($R97="","OK","REVIEW"))</f>
        <v/>
      </c>
      <c r="R97" s="62" t="str">
        <f aca="false">IF($A97="","",TRIM(IF($B97="","Missing invoice ID. ","")&amp;IF(AND($B97&lt;&gt;"",COUNTIFS('Invoice &amp; Delivery Log'!$A$8:$A$157,$B97)=0),"Invoice ID not found in the invoice log. ","")&amp;IF(COUNTIFS('Payments Log'!$A$8:$A$207,$A97)&gt;1,"Duplicate payment ID. ","")&amp;IF(N($F97)&lt;=0,"Payment amount must be greater than zero. ","")&amp;IF($E97="","Missing payment date. ","")&amp;IF(AND($E97&lt;&gt;"",$J97&lt;&gt;"",$E97&lt;$J97),"Payment dated before the invoice date. ","")&amp;IF(AND($E97&lt;&gt;"",$E97&gt;Settings!$C$5),"Payment date is in the future. ","")&amp;IF(ROUND(N($P97),2)&lt;0,"Payment exceeds the invoice balance. ","")&amp;IF($G97="","Missing payment method. ","")))</f>
        <v/>
      </c>
    </row>
    <row r="98" customFormat="false" ht="15" hidden="false" customHeight="true" outlineLevel="0" collapsed="false">
      <c r="A98" s="44"/>
      <c r="B98" s="44"/>
      <c r="C98" s="63" t="str">
        <f aca="false">IF($B98="","",IFERROR(INDEX('Invoice &amp; Delivery Log'!$B$8:$B$157,MATCH($B98,'Invoice &amp; Delivery Log'!$A$8:$A$157,0)),""))</f>
        <v/>
      </c>
      <c r="D98" s="55" t="str">
        <f aca="false">IF($B98="","",IFERROR(INDEX('Invoice &amp; Delivery Log'!$C$8:$C$157,MATCH($B98,'Invoice &amp; Delivery Log'!$A$8:$A$157,0)),"INVOICE NOT FOUND"))</f>
        <v/>
      </c>
      <c r="E98" s="56"/>
      <c r="F98" s="58"/>
      <c r="G98" s="44"/>
      <c r="H98" s="45"/>
      <c r="I98" s="45"/>
      <c r="J98" s="64" t="str">
        <f aca="false">IF($B98="","",IFERROR(INDEX('Invoice &amp; Delivery Log'!$H$8:$H$157,MATCH($B98,'Invoice &amp; Delivery Log'!$A$8:$A$157,0)),""))</f>
        <v/>
      </c>
      <c r="K98" s="64" t="str">
        <f aca="false">IF($B98="","",IFERROR(INDEX('Invoice &amp; Delivery Log'!$M$8:$M$157,MATCH($B98,'Invoice &amp; Delivery Log'!$A$8:$A$157,0)),""))</f>
        <v/>
      </c>
      <c r="L98" s="47" t="str">
        <f aca="false">IF(OR($E98="",$J98=""),"",$E98-$J98)</f>
        <v/>
      </c>
      <c r="M98" s="47" t="str">
        <f aca="false">IF(OR($E98="",$K98=""),"",$E98-$K98)</f>
        <v/>
      </c>
      <c r="N98" s="36" t="str">
        <f aca="false">IF(OR($E98="",$K98=""),"n/a",IF($E98&lt;=$K98,"On Time","Late"))</f>
        <v>n/a</v>
      </c>
      <c r="O98" s="30" t="str">
        <f aca="false">IF($B98="","",SUMIFS($F$8:$F98,$B$8:$B98,$B98))</f>
        <v/>
      </c>
      <c r="P98" s="30" t="str">
        <f aca="false">IF($B98="","",IFERROR(ROUND(INDEX('Invoice &amp; Delivery Log'!$N$8:$N$157,MATCH($B98,'Invoice &amp; Delivery Log'!$A$8:$A$157,0))-$O98,2),""))</f>
        <v/>
      </c>
      <c r="Q98" s="36" t="str">
        <f aca="false">IF($A98="","",IF($R98="","OK","REVIEW"))</f>
        <v/>
      </c>
      <c r="R98" s="28" t="str">
        <f aca="false">IF($A98="","",TRIM(IF($B98="","Missing invoice ID. ","")&amp;IF(AND($B98&lt;&gt;"",COUNTIFS('Invoice &amp; Delivery Log'!$A$8:$A$157,$B98)=0),"Invoice ID not found in the invoice log. ","")&amp;IF(COUNTIFS('Payments Log'!$A$8:$A$207,$A98)&gt;1,"Duplicate payment ID. ","")&amp;IF(N($F98)&lt;=0,"Payment amount must be greater than zero. ","")&amp;IF($E98="","Missing payment date. ","")&amp;IF(AND($E98&lt;&gt;"",$J98&lt;&gt;"",$E98&lt;$J98),"Payment dated before the invoice date. ","")&amp;IF(AND($E98&lt;&gt;"",$E98&gt;Settings!$C$5),"Payment date is in the future. ","")&amp;IF(ROUND(N($P98),2)&lt;0,"Payment exceeds the invoice balance. ","")&amp;IF($G98="","Missing payment method. ","")))</f>
        <v/>
      </c>
    </row>
    <row r="99" customFormat="false" ht="15" hidden="false" customHeight="true" outlineLevel="0" collapsed="false">
      <c r="A99" s="44"/>
      <c r="B99" s="44"/>
      <c r="C99" s="65" t="str">
        <f aca="false">IF($B99="","",IFERROR(INDEX('Invoice &amp; Delivery Log'!$B$8:$B$157,MATCH($B99,'Invoice &amp; Delivery Log'!$A$8:$A$157,0)),""))</f>
        <v/>
      </c>
      <c r="D99" s="59" t="str">
        <f aca="false">IF($B99="","",IFERROR(INDEX('Invoice &amp; Delivery Log'!$C$8:$C$157,MATCH($B99,'Invoice &amp; Delivery Log'!$A$8:$A$157,0)),"INVOICE NOT FOUND"))</f>
        <v/>
      </c>
      <c r="E99" s="56"/>
      <c r="F99" s="58"/>
      <c r="G99" s="44"/>
      <c r="H99" s="45"/>
      <c r="I99" s="45"/>
      <c r="J99" s="66" t="str">
        <f aca="false">IF($B99="","",IFERROR(INDEX('Invoice &amp; Delivery Log'!$H$8:$H$157,MATCH($B99,'Invoice &amp; Delivery Log'!$A$8:$A$157,0)),""))</f>
        <v/>
      </c>
      <c r="K99" s="66" t="str">
        <f aca="false">IF($B99="","",IFERROR(INDEX('Invoice &amp; Delivery Log'!$M$8:$M$157,MATCH($B99,'Invoice &amp; Delivery Log'!$A$8:$A$157,0)),""))</f>
        <v/>
      </c>
      <c r="L99" s="52" t="str">
        <f aca="false">IF(OR($E99="",$J99=""),"",$E99-$J99)</f>
        <v/>
      </c>
      <c r="M99" s="52" t="str">
        <f aca="false">IF(OR($E99="",$K99=""),"",$E99-$K99)</f>
        <v/>
      </c>
      <c r="N99" s="53" t="str">
        <f aca="false">IF(OR($E99="",$K99=""),"n/a",IF($E99&lt;=$K99,"On Time","Late"))</f>
        <v>n/a</v>
      </c>
      <c r="O99" s="50" t="str">
        <f aca="false">IF($B99="","",SUMIFS($F$8:$F99,$B$8:$B99,$B99))</f>
        <v/>
      </c>
      <c r="P99" s="50" t="str">
        <f aca="false">IF($B99="","",IFERROR(ROUND(INDEX('Invoice &amp; Delivery Log'!$N$8:$N$157,MATCH($B99,'Invoice &amp; Delivery Log'!$A$8:$A$157,0))-$O99,2),""))</f>
        <v/>
      </c>
      <c r="Q99" s="53" t="str">
        <f aca="false">IF($A99="","",IF($R99="","OK","REVIEW"))</f>
        <v/>
      </c>
      <c r="R99" s="62" t="str">
        <f aca="false">IF($A99="","",TRIM(IF($B99="","Missing invoice ID. ","")&amp;IF(AND($B99&lt;&gt;"",COUNTIFS('Invoice &amp; Delivery Log'!$A$8:$A$157,$B99)=0),"Invoice ID not found in the invoice log. ","")&amp;IF(COUNTIFS('Payments Log'!$A$8:$A$207,$A99)&gt;1,"Duplicate payment ID. ","")&amp;IF(N($F99)&lt;=0,"Payment amount must be greater than zero. ","")&amp;IF($E99="","Missing payment date. ","")&amp;IF(AND($E99&lt;&gt;"",$J99&lt;&gt;"",$E99&lt;$J99),"Payment dated before the invoice date. ","")&amp;IF(AND($E99&lt;&gt;"",$E99&gt;Settings!$C$5),"Payment date is in the future. ","")&amp;IF(ROUND(N($P99),2)&lt;0,"Payment exceeds the invoice balance. ","")&amp;IF($G99="","Missing payment method. ","")))</f>
        <v/>
      </c>
    </row>
    <row r="100" customFormat="false" ht="15" hidden="false" customHeight="true" outlineLevel="0" collapsed="false">
      <c r="A100" s="44"/>
      <c r="B100" s="44"/>
      <c r="C100" s="63" t="str">
        <f aca="false">IF($B100="","",IFERROR(INDEX('Invoice &amp; Delivery Log'!$B$8:$B$157,MATCH($B100,'Invoice &amp; Delivery Log'!$A$8:$A$157,0)),""))</f>
        <v/>
      </c>
      <c r="D100" s="55" t="str">
        <f aca="false">IF($B100="","",IFERROR(INDEX('Invoice &amp; Delivery Log'!$C$8:$C$157,MATCH($B100,'Invoice &amp; Delivery Log'!$A$8:$A$157,0)),"INVOICE NOT FOUND"))</f>
        <v/>
      </c>
      <c r="E100" s="56"/>
      <c r="F100" s="58"/>
      <c r="G100" s="44"/>
      <c r="H100" s="45"/>
      <c r="I100" s="45"/>
      <c r="J100" s="64" t="str">
        <f aca="false">IF($B100="","",IFERROR(INDEX('Invoice &amp; Delivery Log'!$H$8:$H$157,MATCH($B100,'Invoice &amp; Delivery Log'!$A$8:$A$157,0)),""))</f>
        <v/>
      </c>
      <c r="K100" s="64" t="str">
        <f aca="false">IF($B100="","",IFERROR(INDEX('Invoice &amp; Delivery Log'!$M$8:$M$157,MATCH($B100,'Invoice &amp; Delivery Log'!$A$8:$A$157,0)),""))</f>
        <v/>
      </c>
      <c r="L100" s="47" t="str">
        <f aca="false">IF(OR($E100="",$J100=""),"",$E100-$J100)</f>
        <v/>
      </c>
      <c r="M100" s="47" t="str">
        <f aca="false">IF(OR($E100="",$K100=""),"",$E100-$K100)</f>
        <v/>
      </c>
      <c r="N100" s="36" t="str">
        <f aca="false">IF(OR($E100="",$K100=""),"n/a",IF($E100&lt;=$K100,"On Time","Late"))</f>
        <v>n/a</v>
      </c>
      <c r="O100" s="30" t="str">
        <f aca="false">IF($B100="","",SUMIFS($F$8:$F100,$B$8:$B100,$B100))</f>
        <v/>
      </c>
      <c r="P100" s="30" t="str">
        <f aca="false">IF($B100="","",IFERROR(ROUND(INDEX('Invoice &amp; Delivery Log'!$N$8:$N$157,MATCH($B100,'Invoice &amp; Delivery Log'!$A$8:$A$157,0))-$O100,2),""))</f>
        <v/>
      </c>
      <c r="Q100" s="36" t="str">
        <f aca="false">IF($A100="","",IF($R100="","OK","REVIEW"))</f>
        <v/>
      </c>
      <c r="R100" s="28" t="str">
        <f aca="false">IF($A100="","",TRIM(IF($B100="","Missing invoice ID. ","")&amp;IF(AND($B100&lt;&gt;"",COUNTIFS('Invoice &amp; Delivery Log'!$A$8:$A$157,$B100)=0),"Invoice ID not found in the invoice log. ","")&amp;IF(COUNTIFS('Payments Log'!$A$8:$A$207,$A100)&gt;1,"Duplicate payment ID. ","")&amp;IF(N($F100)&lt;=0,"Payment amount must be greater than zero. ","")&amp;IF($E100="","Missing payment date. ","")&amp;IF(AND($E100&lt;&gt;"",$J100&lt;&gt;"",$E100&lt;$J100),"Payment dated before the invoice date. ","")&amp;IF(AND($E100&lt;&gt;"",$E100&gt;Settings!$C$5),"Payment date is in the future. ","")&amp;IF(ROUND(N($P100),2)&lt;0,"Payment exceeds the invoice balance. ","")&amp;IF($G100="","Missing payment method. ","")))</f>
        <v/>
      </c>
    </row>
    <row r="101" customFormat="false" ht="15" hidden="false" customHeight="true" outlineLevel="0" collapsed="false">
      <c r="A101" s="44"/>
      <c r="B101" s="44"/>
      <c r="C101" s="65" t="str">
        <f aca="false">IF($B101="","",IFERROR(INDEX('Invoice &amp; Delivery Log'!$B$8:$B$157,MATCH($B101,'Invoice &amp; Delivery Log'!$A$8:$A$157,0)),""))</f>
        <v/>
      </c>
      <c r="D101" s="59" t="str">
        <f aca="false">IF($B101="","",IFERROR(INDEX('Invoice &amp; Delivery Log'!$C$8:$C$157,MATCH($B101,'Invoice &amp; Delivery Log'!$A$8:$A$157,0)),"INVOICE NOT FOUND"))</f>
        <v/>
      </c>
      <c r="E101" s="56"/>
      <c r="F101" s="58"/>
      <c r="G101" s="44"/>
      <c r="H101" s="45"/>
      <c r="I101" s="45"/>
      <c r="J101" s="66" t="str">
        <f aca="false">IF($B101="","",IFERROR(INDEX('Invoice &amp; Delivery Log'!$H$8:$H$157,MATCH($B101,'Invoice &amp; Delivery Log'!$A$8:$A$157,0)),""))</f>
        <v/>
      </c>
      <c r="K101" s="66" t="str">
        <f aca="false">IF($B101="","",IFERROR(INDEX('Invoice &amp; Delivery Log'!$M$8:$M$157,MATCH($B101,'Invoice &amp; Delivery Log'!$A$8:$A$157,0)),""))</f>
        <v/>
      </c>
      <c r="L101" s="52" t="str">
        <f aca="false">IF(OR($E101="",$J101=""),"",$E101-$J101)</f>
        <v/>
      </c>
      <c r="M101" s="52" t="str">
        <f aca="false">IF(OR($E101="",$K101=""),"",$E101-$K101)</f>
        <v/>
      </c>
      <c r="N101" s="53" t="str">
        <f aca="false">IF(OR($E101="",$K101=""),"n/a",IF($E101&lt;=$K101,"On Time","Late"))</f>
        <v>n/a</v>
      </c>
      <c r="O101" s="50" t="str">
        <f aca="false">IF($B101="","",SUMIFS($F$8:$F101,$B$8:$B101,$B101))</f>
        <v/>
      </c>
      <c r="P101" s="50" t="str">
        <f aca="false">IF($B101="","",IFERROR(ROUND(INDEX('Invoice &amp; Delivery Log'!$N$8:$N$157,MATCH($B101,'Invoice &amp; Delivery Log'!$A$8:$A$157,0))-$O101,2),""))</f>
        <v/>
      </c>
      <c r="Q101" s="53" t="str">
        <f aca="false">IF($A101="","",IF($R101="","OK","REVIEW"))</f>
        <v/>
      </c>
      <c r="R101" s="62" t="str">
        <f aca="false">IF($A101="","",TRIM(IF($B101="","Missing invoice ID. ","")&amp;IF(AND($B101&lt;&gt;"",COUNTIFS('Invoice &amp; Delivery Log'!$A$8:$A$157,$B101)=0),"Invoice ID not found in the invoice log. ","")&amp;IF(COUNTIFS('Payments Log'!$A$8:$A$207,$A101)&gt;1,"Duplicate payment ID. ","")&amp;IF(N($F101)&lt;=0,"Payment amount must be greater than zero. ","")&amp;IF($E101="","Missing payment date. ","")&amp;IF(AND($E101&lt;&gt;"",$J101&lt;&gt;"",$E101&lt;$J101),"Payment dated before the invoice date. ","")&amp;IF(AND($E101&lt;&gt;"",$E101&gt;Settings!$C$5),"Payment date is in the future. ","")&amp;IF(ROUND(N($P101),2)&lt;0,"Payment exceeds the invoice balance. ","")&amp;IF($G101="","Missing payment method. ","")))</f>
        <v/>
      </c>
    </row>
    <row r="102" customFormat="false" ht="15" hidden="false" customHeight="true" outlineLevel="0" collapsed="false">
      <c r="A102" s="44"/>
      <c r="B102" s="44"/>
      <c r="C102" s="63" t="str">
        <f aca="false">IF($B102="","",IFERROR(INDEX('Invoice &amp; Delivery Log'!$B$8:$B$157,MATCH($B102,'Invoice &amp; Delivery Log'!$A$8:$A$157,0)),""))</f>
        <v/>
      </c>
      <c r="D102" s="55" t="str">
        <f aca="false">IF($B102="","",IFERROR(INDEX('Invoice &amp; Delivery Log'!$C$8:$C$157,MATCH($B102,'Invoice &amp; Delivery Log'!$A$8:$A$157,0)),"INVOICE NOT FOUND"))</f>
        <v/>
      </c>
      <c r="E102" s="56"/>
      <c r="F102" s="58"/>
      <c r="G102" s="44"/>
      <c r="H102" s="45"/>
      <c r="I102" s="45"/>
      <c r="J102" s="64" t="str">
        <f aca="false">IF($B102="","",IFERROR(INDEX('Invoice &amp; Delivery Log'!$H$8:$H$157,MATCH($B102,'Invoice &amp; Delivery Log'!$A$8:$A$157,0)),""))</f>
        <v/>
      </c>
      <c r="K102" s="64" t="str">
        <f aca="false">IF($B102="","",IFERROR(INDEX('Invoice &amp; Delivery Log'!$M$8:$M$157,MATCH($B102,'Invoice &amp; Delivery Log'!$A$8:$A$157,0)),""))</f>
        <v/>
      </c>
      <c r="L102" s="47" t="str">
        <f aca="false">IF(OR($E102="",$J102=""),"",$E102-$J102)</f>
        <v/>
      </c>
      <c r="M102" s="47" t="str">
        <f aca="false">IF(OR($E102="",$K102=""),"",$E102-$K102)</f>
        <v/>
      </c>
      <c r="N102" s="36" t="str">
        <f aca="false">IF(OR($E102="",$K102=""),"n/a",IF($E102&lt;=$K102,"On Time","Late"))</f>
        <v>n/a</v>
      </c>
      <c r="O102" s="30" t="str">
        <f aca="false">IF($B102="","",SUMIFS($F$8:$F102,$B$8:$B102,$B102))</f>
        <v/>
      </c>
      <c r="P102" s="30" t="str">
        <f aca="false">IF($B102="","",IFERROR(ROUND(INDEX('Invoice &amp; Delivery Log'!$N$8:$N$157,MATCH($B102,'Invoice &amp; Delivery Log'!$A$8:$A$157,0))-$O102,2),""))</f>
        <v/>
      </c>
      <c r="Q102" s="36" t="str">
        <f aca="false">IF($A102="","",IF($R102="","OK","REVIEW"))</f>
        <v/>
      </c>
      <c r="R102" s="28" t="str">
        <f aca="false">IF($A102="","",TRIM(IF($B102="","Missing invoice ID. ","")&amp;IF(AND($B102&lt;&gt;"",COUNTIFS('Invoice &amp; Delivery Log'!$A$8:$A$157,$B102)=0),"Invoice ID not found in the invoice log. ","")&amp;IF(COUNTIFS('Payments Log'!$A$8:$A$207,$A102)&gt;1,"Duplicate payment ID. ","")&amp;IF(N($F102)&lt;=0,"Payment amount must be greater than zero. ","")&amp;IF($E102="","Missing payment date. ","")&amp;IF(AND($E102&lt;&gt;"",$J102&lt;&gt;"",$E102&lt;$J102),"Payment dated before the invoice date. ","")&amp;IF(AND($E102&lt;&gt;"",$E102&gt;Settings!$C$5),"Payment date is in the future. ","")&amp;IF(ROUND(N($P102),2)&lt;0,"Payment exceeds the invoice balance. ","")&amp;IF($G102="","Missing payment method. ","")))</f>
        <v/>
      </c>
    </row>
    <row r="103" customFormat="false" ht="15" hidden="false" customHeight="true" outlineLevel="0" collapsed="false">
      <c r="A103" s="44"/>
      <c r="B103" s="44"/>
      <c r="C103" s="65" t="str">
        <f aca="false">IF($B103="","",IFERROR(INDEX('Invoice &amp; Delivery Log'!$B$8:$B$157,MATCH($B103,'Invoice &amp; Delivery Log'!$A$8:$A$157,0)),""))</f>
        <v/>
      </c>
      <c r="D103" s="59" t="str">
        <f aca="false">IF($B103="","",IFERROR(INDEX('Invoice &amp; Delivery Log'!$C$8:$C$157,MATCH($B103,'Invoice &amp; Delivery Log'!$A$8:$A$157,0)),"INVOICE NOT FOUND"))</f>
        <v/>
      </c>
      <c r="E103" s="56"/>
      <c r="F103" s="58"/>
      <c r="G103" s="44"/>
      <c r="H103" s="45"/>
      <c r="I103" s="45"/>
      <c r="J103" s="66" t="str">
        <f aca="false">IF($B103="","",IFERROR(INDEX('Invoice &amp; Delivery Log'!$H$8:$H$157,MATCH($B103,'Invoice &amp; Delivery Log'!$A$8:$A$157,0)),""))</f>
        <v/>
      </c>
      <c r="K103" s="66" t="str">
        <f aca="false">IF($B103="","",IFERROR(INDEX('Invoice &amp; Delivery Log'!$M$8:$M$157,MATCH($B103,'Invoice &amp; Delivery Log'!$A$8:$A$157,0)),""))</f>
        <v/>
      </c>
      <c r="L103" s="52" t="str">
        <f aca="false">IF(OR($E103="",$J103=""),"",$E103-$J103)</f>
        <v/>
      </c>
      <c r="M103" s="52" t="str">
        <f aca="false">IF(OR($E103="",$K103=""),"",$E103-$K103)</f>
        <v/>
      </c>
      <c r="N103" s="53" t="str">
        <f aca="false">IF(OR($E103="",$K103=""),"n/a",IF($E103&lt;=$K103,"On Time","Late"))</f>
        <v>n/a</v>
      </c>
      <c r="O103" s="50" t="str">
        <f aca="false">IF($B103="","",SUMIFS($F$8:$F103,$B$8:$B103,$B103))</f>
        <v/>
      </c>
      <c r="P103" s="50" t="str">
        <f aca="false">IF($B103="","",IFERROR(ROUND(INDEX('Invoice &amp; Delivery Log'!$N$8:$N$157,MATCH($B103,'Invoice &amp; Delivery Log'!$A$8:$A$157,0))-$O103,2),""))</f>
        <v/>
      </c>
      <c r="Q103" s="53" t="str">
        <f aca="false">IF($A103="","",IF($R103="","OK","REVIEW"))</f>
        <v/>
      </c>
      <c r="R103" s="62" t="str">
        <f aca="false">IF($A103="","",TRIM(IF($B103="","Missing invoice ID. ","")&amp;IF(AND($B103&lt;&gt;"",COUNTIFS('Invoice &amp; Delivery Log'!$A$8:$A$157,$B103)=0),"Invoice ID not found in the invoice log. ","")&amp;IF(COUNTIFS('Payments Log'!$A$8:$A$207,$A103)&gt;1,"Duplicate payment ID. ","")&amp;IF(N($F103)&lt;=0,"Payment amount must be greater than zero. ","")&amp;IF($E103="","Missing payment date. ","")&amp;IF(AND($E103&lt;&gt;"",$J103&lt;&gt;"",$E103&lt;$J103),"Payment dated before the invoice date. ","")&amp;IF(AND($E103&lt;&gt;"",$E103&gt;Settings!$C$5),"Payment date is in the future. ","")&amp;IF(ROUND(N($P103),2)&lt;0,"Payment exceeds the invoice balance. ","")&amp;IF($G103="","Missing payment method. ","")))</f>
        <v/>
      </c>
    </row>
    <row r="104" customFormat="false" ht="15" hidden="false" customHeight="true" outlineLevel="0" collapsed="false">
      <c r="A104" s="44"/>
      <c r="B104" s="44"/>
      <c r="C104" s="63" t="str">
        <f aca="false">IF($B104="","",IFERROR(INDEX('Invoice &amp; Delivery Log'!$B$8:$B$157,MATCH($B104,'Invoice &amp; Delivery Log'!$A$8:$A$157,0)),""))</f>
        <v/>
      </c>
      <c r="D104" s="55" t="str">
        <f aca="false">IF($B104="","",IFERROR(INDEX('Invoice &amp; Delivery Log'!$C$8:$C$157,MATCH($B104,'Invoice &amp; Delivery Log'!$A$8:$A$157,0)),"INVOICE NOT FOUND"))</f>
        <v/>
      </c>
      <c r="E104" s="56"/>
      <c r="F104" s="58"/>
      <c r="G104" s="44"/>
      <c r="H104" s="45"/>
      <c r="I104" s="45"/>
      <c r="J104" s="64" t="str">
        <f aca="false">IF($B104="","",IFERROR(INDEX('Invoice &amp; Delivery Log'!$H$8:$H$157,MATCH($B104,'Invoice &amp; Delivery Log'!$A$8:$A$157,0)),""))</f>
        <v/>
      </c>
      <c r="K104" s="64" t="str">
        <f aca="false">IF($B104="","",IFERROR(INDEX('Invoice &amp; Delivery Log'!$M$8:$M$157,MATCH($B104,'Invoice &amp; Delivery Log'!$A$8:$A$157,0)),""))</f>
        <v/>
      </c>
      <c r="L104" s="47" t="str">
        <f aca="false">IF(OR($E104="",$J104=""),"",$E104-$J104)</f>
        <v/>
      </c>
      <c r="M104" s="47" t="str">
        <f aca="false">IF(OR($E104="",$K104=""),"",$E104-$K104)</f>
        <v/>
      </c>
      <c r="N104" s="36" t="str">
        <f aca="false">IF(OR($E104="",$K104=""),"n/a",IF($E104&lt;=$K104,"On Time","Late"))</f>
        <v>n/a</v>
      </c>
      <c r="O104" s="30" t="str">
        <f aca="false">IF($B104="","",SUMIFS($F$8:$F104,$B$8:$B104,$B104))</f>
        <v/>
      </c>
      <c r="P104" s="30" t="str">
        <f aca="false">IF($B104="","",IFERROR(ROUND(INDEX('Invoice &amp; Delivery Log'!$N$8:$N$157,MATCH($B104,'Invoice &amp; Delivery Log'!$A$8:$A$157,0))-$O104,2),""))</f>
        <v/>
      </c>
      <c r="Q104" s="36" t="str">
        <f aca="false">IF($A104="","",IF($R104="","OK","REVIEW"))</f>
        <v/>
      </c>
      <c r="R104" s="28" t="str">
        <f aca="false">IF($A104="","",TRIM(IF($B104="","Missing invoice ID. ","")&amp;IF(AND($B104&lt;&gt;"",COUNTIFS('Invoice &amp; Delivery Log'!$A$8:$A$157,$B104)=0),"Invoice ID not found in the invoice log. ","")&amp;IF(COUNTIFS('Payments Log'!$A$8:$A$207,$A104)&gt;1,"Duplicate payment ID. ","")&amp;IF(N($F104)&lt;=0,"Payment amount must be greater than zero. ","")&amp;IF($E104="","Missing payment date. ","")&amp;IF(AND($E104&lt;&gt;"",$J104&lt;&gt;"",$E104&lt;$J104),"Payment dated before the invoice date. ","")&amp;IF(AND($E104&lt;&gt;"",$E104&gt;Settings!$C$5),"Payment date is in the future. ","")&amp;IF(ROUND(N($P104),2)&lt;0,"Payment exceeds the invoice balance. ","")&amp;IF($G104="","Missing payment method. ","")))</f>
        <v/>
      </c>
    </row>
    <row r="105" customFormat="false" ht="15" hidden="false" customHeight="true" outlineLevel="0" collapsed="false">
      <c r="A105" s="44"/>
      <c r="B105" s="44"/>
      <c r="C105" s="65" t="str">
        <f aca="false">IF($B105="","",IFERROR(INDEX('Invoice &amp; Delivery Log'!$B$8:$B$157,MATCH($B105,'Invoice &amp; Delivery Log'!$A$8:$A$157,0)),""))</f>
        <v/>
      </c>
      <c r="D105" s="59" t="str">
        <f aca="false">IF($B105="","",IFERROR(INDEX('Invoice &amp; Delivery Log'!$C$8:$C$157,MATCH($B105,'Invoice &amp; Delivery Log'!$A$8:$A$157,0)),"INVOICE NOT FOUND"))</f>
        <v/>
      </c>
      <c r="E105" s="56"/>
      <c r="F105" s="58"/>
      <c r="G105" s="44"/>
      <c r="H105" s="45"/>
      <c r="I105" s="45"/>
      <c r="J105" s="66" t="str">
        <f aca="false">IF($B105="","",IFERROR(INDEX('Invoice &amp; Delivery Log'!$H$8:$H$157,MATCH($B105,'Invoice &amp; Delivery Log'!$A$8:$A$157,0)),""))</f>
        <v/>
      </c>
      <c r="K105" s="66" t="str">
        <f aca="false">IF($B105="","",IFERROR(INDEX('Invoice &amp; Delivery Log'!$M$8:$M$157,MATCH($B105,'Invoice &amp; Delivery Log'!$A$8:$A$157,0)),""))</f>
        <v/>
      </c>
      <c r="L105" s="52" t="str">
        <f aca="false">IF(OR($E105="",$J105=""),"",$E105-$J105)</f>
        <v/>
      </c>
      <c r="M105" s="52" t="str">
        <f aca="false">IF(OR($E105="",$K105=""),"",$E105-$K105)</f>
        <v/>
      </c>
      <c r="N105" s="53" t="str">
        <f aca="false">IF(OR($E105="",$K105=""),"n/a",IF($E105&lt;=$K105,"On Time","Late"))</f>
        <v>n/a</v>
      </c>
      <c r="O105" s="50" t="str">
        <f aca="false">IF($B105="","",SUMIFS($F$8:$F105,$B$8:$B105,$B105))</f>
        <v/>
      </c>
      <c r="P105" s="50" t="str">
        <f aca="false">IF($B105="","",IFERROR(ROUND(INDEX('Invoice &amp; Delivery Log'!$N$8:$N$157,MATCH($B105,'Invoice &amp; Delivery Log'!$A$8:$A$157,0))-$O105,2),""))</f>
        <v/>
      </c>
      <c r="Q105" s="53" t="str">
        <f aca="false">IF($A105="","",IF($R105="","OK","REVIEW"))</f>
        <v/>
      </c>
      <c r="R105" s="62" t="str">
        <f aca="false">IF($A105="","",TRIM(IF($B105="","Missing invoice ID. ","")&amp;IF(AND($B105&lt;&gt;"",COUNTIFS('Invoice &amp; Delivery Log'!$A$8:$A$157,$B105)=0),"Invoice ID not found in the invoice log. ","")&amp;IF(COUNTIFS('Payments Log'!$A$8:$A$207,$A105)&gt;1,"Duplicate payment ID. ","")&amp;IF(N($F105)&lt;=0,"Payment amount must be greater than zero. ","")&amp;IF($E105="","Missing payment date. ","")&amp;IF(AND($E105&lt;&gt;"",$J105&lt;&gt;"",$E105&lt;$J105),"Payment dated before the invoice date. ","")&amp;IF(AND($E105&lt;&gt;"",$E105&gt;Settings!$C$5),"Payment date is in the future. ","")&amp;IF(ROUND(N($P105),2)&lt;0,"Payment exceeds the invoice balance. ","")&amp;IF($G105="","Missing payment method. ","")))</f>
        <v/>
      </c>
    </row>
    <row r="106" customFormat="false" ht="15" hidden="false" customHeight="true" outlineLevel="0" collapsed="false">
      <c r="A106" s="44"/>
      <c r="B106" s="44"/>
      <c r="C106" s="63" t="str">
        <f aca="false">IF($B106="","",IFERROR(INDEX('Invoice &amp; Delivery Log'!$B$8:$B$157,MATCH($B106,'Invoice &amp; Delivery Log'!$A$8:$A$157,0)),""))</f>
        <v/>
      </c>
      <c r="D106" s="55" t="str">
        <f aca="false">IF($B106="","",IFERROR(INDEX('Invoice &amp; Delivery Log'!$C$8:$C$157,MATCH($B106,'Invoice &amp; Delivery Log'!$A$8:$A$157,0)),"INVOICE NOT FOUND"))</f>
        <v/>
      </c>
      <c r="E106" s="56"/>
      <c r="F106" s="58"/>
      <c r="G106" s="44"/>
      <c r="H106" s="45"/>
      <c r="I106" s="45"/>
      <c r="J106" s="64" t="str">
        <f aca="false">IF($B106="","",IFERROR(INDEX('Invoice &amp; Delivery Log'!$H$8:$H$157,MATCH($B106,'Invoice &amp; Delivery Log'!$A$8:$A$157,0)),""))</f>
        <v/>
      </c>
      <c r="K106" s="64" t="str">
        <f aca="false">IF($B106="","",IFERROR(INDEX('Invoice &amp; Delivery Log'!$M$8:$M$157,MATCH($B106,'Invoice &amp; Delivery Log'!$A$8:$A$157,0)),""))</f>
        <v/>
      </c>
      <c r="L106" s="47" t="str">
        <f aca="false">IF(OR($E106="",$J106=""),"",$E106-$J106)</f>
        <v/>
      </c>
      <c r="M106" s="47" t="str">
        <f aca="false">IF(OR($E106="",$K106=""),"",$E106-$K106)</f>
        <v/>
      </c>
      <c r="N106" s="36" t="str">
        <f aca="false">IF(OR($E106="",$K106=""),"n/a",IF($E106&lt;=$K106,"On Time","Late"))</f>
        <v>n/a</v>
      </c>
      <c r="O106" s="30" t="str">
        <f aca="false">IF($B106="","",SUMIFS($F$8:$F106,$B$8:$B106,$B106))</f>
        <v/>
      </c>
      <c r="P106" s="30" t="str">
        <f aca="false">IF($B106="","",IFERROR(ROUND(INDEX('Invoice &amp; Delivery Log'!$N$8:$N$157,MATCH($B106,'Invoice &amp; Delivery Log'!$A$8:$A$157,0))-$O106,2),""))</f>
        <v/>
      </c>
      <c r="Q106" s="36" t="str">
        <f aca="false">IF($A106="","",IF($R106="","OK","REVIEW"))</f>
        <v/>
      </c>
      <c r="R106" s="28" t="str">
        <f aca="false">IF($A106="","",TRIM(IF($B106="","Missing invoice ID. ","")&amp;IF(AND($B106&lt;&gt;"",COUNTIFS('Invoice &amp; Delivery Log'!$A$8:$A$157,$B106)=0),"Invoice ID not found in the invoice log. ","")&amp;IF(COUNTIFS('Payments Log'!$A$8:$A$207,$A106)&gt;1,"Duplicate payment ID. ","")&amp;IF(N($F106)&lt;=0,"Payment amount must be greater than zero. ","")&amp;IF($E106="","Missing payment date. ","")&amp;IF(AND($E106&lt;&gt;"",$J106&lt;&gt;"",$E106&lt;$J106),"Payment dated before the invoice date. ","")&amp;IF(AND($E106&lt;&gt;"",$E106&gt;Settings!$C$5),"Payment date is in the future. ","")&amp;IF(ROUND(N($P106),2)&lt;0,"Payment exceeds the invoice balance. ","")&amp;IF($G106="","Missing payment method. ","")))</f>
        <v/>
      </c>
    </row>
    <row r="107" customFormat="false" ht="15" hidden="false" customHeight="true" outlineLevel="0" collapsed="false">
      <c r="A107" s="44"/>
      <c r="B107" s="44"/>
      <c r="C107" s="65" t="str">
        <f aca="false">IF($B107="","",IFERROR(INDEX('Invoice &amp; Delivery Log'!$B$8:$B$157,MATCH($B107,'Invoice &amp; Delivery Log'!$A$8:$A$157,0)),""))</f>
        <v/>
      </c>
      <c r="D107" s="59" t="str">
        <f aca="false">IF($B107="","",IFERROR(INDEX('Invoice &amp; Delivery Log'!$C$8:$C$157,MATCH($B107,'Invoice &amp; Delivery Log'!$A$8:$A$157,0)),"INVOICE NOT FOUND"))</f>
        <v/>
      </c>
      <c r="E107" s="56"/>
      <c r="F107" s="58"/>
      <c r="G107" s="44"/>
      <c r="H107" s="45"/>
      <c r="I107" s="45"/>
      <c r="J107" s="66" t="str">
        <f aca="false">IF($B107="","",IFERROR(INDEX('Invoice &amp; Delivery Log'!$H$8:$H$157,MATCH($B107,'Invoice &amp; Delivery Log'!$A$8:$A$157,0)),""))</f>
        <v/>
      </c>
      <c r="K107" s="66" t="str">
        <f aca="false">IF($B107="","",IFERROR(INDEX('Invoice &amp; Delivery Log'!$M$8:$M$157,MATCH($B107,'Invoice &amp; Delivery Log'!$A$8:$A$157,0)),""))</f>
        <v/>
      </c>
      <c r="L107" s="52" t="str">
        <f aca="false">IF(OR($E107="",$J107=""),"",$E107-$J107)</f>
        <v/>
      </c>
      <c r="M107" s="52" t="str">
        <f aca="false">IF(OR($E107="",$K107=""),"",$E107-$K107)</f>
        <v/>
      </c>
      <c r="N107" s="53" t="str">
        <f aca="false">IF(OR($E107="",$K107=""),"n/a",IF($E107&lt;=$K107,"On Time","Late"))</f>
        <v>n/a</v>
      </c>
      <c r="O107" s="50" t="str">
        <f aca="false">IF($B107="","",SUMIFS($F$8:$F107,$B$8:$B107,$B107))</f>
        <v/>
      </c>
      <c r="P107" s="50" t="str">
        <f aca="false">IF($B107="","",IFERROR(ROUND(INDEX('Invoice &amp; Delivery Log'!$N$8:$N$157,MATCH($B107,'Invoice &amp; Delivery Log'!$A$8:$A$157,0))-$O107,2),""))</f>
        <v/>
      </c>
      <c r="Q107" s="53" t="str">
        <f aca="false">IF($A107="","",IF($R107="","OK","REVIEW"))</f>
        <v/>
      </c>
      <c r="R107" s="62" t="str">
        <f aca="false">IF($A107="","",TRIM(IF($B107="","Missing invoice ID. ","")&amp;IF(AND($B107&lt;&gt;"",COUNTIFS('Invoice &amp; Delivery Log'!$A$8:$A$157,$B107)=0),"Invoice ID not found in the invoice log. ","")&amp;IF(COUNTIFS('Payments Log'!$A$8:$A$207,$A107)&gt;1,"Duplicate payment ID. ","")&amp;IF(N($F107)&lt;=0,"Payment amount must be greater than zero. ","")&amp;IF($E107="","Missing payment date. ","")&amp;IF(AND($E107&lt;&gt;"",$J107&lt;&gt;"",$E107&lt;$J107),"Payment dated before the invoice date. ","")&amp;IF(AND($E107&lt;&gt;"",$E107&gt;Settings!$C$5),"Payment date is in the future. ","")&amp;IF(ROUND(N($P107),2)&lt;0,"Payment exceeds the invoice balance. ","")&amp;IF($G107="","Missing payment method. ","")))</f>
        <v/>
      </c>
    </row>
    <row r="108" customFormat="false" ht="15" hidden="false" customHeight="true" outlineLevel="0" collapsed="false">
      <c r="A108" s="44"/>
      <c r="B108" s="44"/>
      <c r="C108" s="63" t="str">
        <f aca="false">IF($B108="","",IFERROR(INDEX('Invoice &amp; Delivery Log'!$B$8:$B$157,MATCH($B108,'Invoice &amp; Delivery Log'!$A$8:$A$157,0)),""))</f>
        <v/>
      </c>
      <c r="D108" s="55" t="str">
        <f aca="false">IF($B108="","",IFERROR(INDEX('Invoice &amp; Delivery Log'!$C$8:$C$157,MATCH($B108,'Invoice &amp; Delivery Log'!$A$8:$A$157,0)),"INVOICE NOT FOUND"))</f>
        <v/>
      </c>
      <c r="E108" s="56"/>
      <c r="F108" s="58"/>
      <c r="G108" s="44"/>
      <c r="H108" s="45"/>
      <c r="I108" s="45"/>
      <c r="J108" s="64" t="str">
        <f aca="false">IF($B108="","",IFERROR(INDEX('Invoice &amp; Delivery Log'!$H$8:$H$157,MATCH($B108,'Invoice &amp; Delivery Log'!$A$8:$A$157,0)),""))</f>
        <v/>
      </c>
      <c r="K108" s="64" t="str">
        <f aca="false">IF($B108="","",IFERROR(INDEX('Invoice &amp; Delivery Log'!$M$8:$M$157,MATCH($B108,'Invoice &amp; Delivery Log'!$A$8:$A$157,0)),""))</f>
        <v/>
      </c>
      <c r="L108" s="47" t="str">
        <f aca="false">IF(OR($E108="",$J108=""),"",$E108-$J108)</f>
        <v/>
      </c>
      <c r="M108" s="47" t="str">
        <f aca="false">IF(OR($E108="",$K108=""),"",$E108-$K108)</f>
        <v/>
      </c>
      <c r="N108" s="36" t="str">
        <f aca="false">IF(OR($E108="",$K108=""),"n/a",IF($E108&lt;=$K108,"On Time","Late"))</f>
        <v>n/a</v>
      </c>
      <c r="O108" s="30" t="str">
        <f aca="false">IF($B108="","",SUMIFS($F$8:$F108,$B$8:$B108,$B108))</f>
        <v/>
      </c>
      <c r="P108" s="30" t="str">
        <f aca="false">IF($B108="","",IFERROR(ROUND(INDEX('Invoice &amp; Delivery Log'!$N$8:$N$157,MATCH($B108,'Invoice &amp; Delivery Log'!$A$8:$A$157,0))-$O108,2),""))</f>
        <v/>
      </c>
      <c r="Q108" s="36" t="str">
        <f aca="false">IF($A108="","",IF($R108="","OK","REVIEW"))</f>
        <v/>
      </c>
      <c r="R108" s="28" t="str">
        <f aca="false">IF($A108="","",TRIM(IF($B108="","Missing invoice ID. ","")&amp;IF(AND($B108&lt;&gt;"",COUNTIFS('Invoice &amp; Delivery Log'!$A$8:$A$157,$B108)=0),"Invoice ID not found in the invoice log. ","")&amp;IF(COUNTIFS('Payments Log'!$A$8:$A$207,$A108)&gt;1,"Duplicate payment ID. ","")&amp;IF(N($F108)&lt;=0,"Payment amount must be greater than zero. ","")&amp;IF($E108="","Missing payment date. ","")&amp;IF(AND($E108&lt;&gt;"",$J108&lt;&gt;"",$E108&lt;$J108),"Payment dated before the invoice date. ","")&amp;IF(AND($E108&lt;&gt;"",$E108&gt;Settings!$C$5),"Payment date is in the future. ","")&amp;IF(ROUND(N($P108),2)&lt;0,"Payment exceeds the invoice balance. ","")&amp;IF($G108="","Missing payment method. ","")))</f>
        <v/>
      </c>
    </row>
    <row r="109" customFormat="false" ht="15" hidden="false" customHeight="true" outlineLevel="0" collapsed="false">
      <c r="A109" s="44"/>
      <c r="B109" s="44"/>
      <c r="C109" s="65" t="str">
        <f aca="false">IF($B109="","",IFERROR(INDEX('Invoice &amp; Delivery Log'!$B$8:$B$157,MATCH($B109,'Invoice &amp; Delivery Log'!$A$8:$A$157,0)),""))</f>
        <v/>
      </c>
      <c r="D109" s="59" t="str">
        <f aca="false">IF($B109="","",IFERROR(INDEX('Invoice &amp; Delivery Log'!$C$8:$C$157,MATCH($B109,'Invoice &amp; Delivery Log'!$A$8:$A$157,0)),"INVOICE NOT FOUND"))</f>
        <v/>
      </c>
      <c r="E109" s="56"/>
      <c r="F109" s="58"/>
      <c r="G109" s="44"/>
      <c r="H109" s="45"/>
      <c r="I109" s="45"/>
      <c r="J109" s="66" t="str">
        <f aca="false">IF($B109="","",IFERROR(INDEX('Invoice &amp; Delivery Log'!$H$8:$H$157,MATCH($B109,'Invoice &amp; Delivery Log'!$A$8:$A$157,0)),""))</f>
        <v/>
      </c>
      <c r="K109" s="66" t="str">
        <f aca="false">IF($B109="","",IFERROR(INDEX('Invoice &amp; Delivery Log'!$M$8:$M$157,MATCH($B109,'Invoice &amp; Delivery Log'!$A$8:$A$157,0)),""))</f>
        <v/>
      </c>
      <c r="L109" s="52" t="str">
        <f aca="false">IF(OR($E109="",$J109=""),"",$E109-$J109)</f>
        <v/>
      </c>
      <c r="M109" s="52" t="str">
        <f aca="false">IF(OR($E109="",$K109=""),"",$E109-$K109)</f>
        <v/>
      </c>
      <c r="N109" s="53" t="str">
        <f aca="false">IF(OR($E109="",$K109=""),"n/a",IF($E109&lt;=$K109,"On Time","Late"))</f>
        <v>n/a</v>
      </c>
      <c r="O109" s="50" t="str">
        <f aca="false">IF($B109="","",SUMIFS($F$8:$F109,$B$8:$B109,$B109))</f>
        <v/>
      </c>
      <c r="P109" s="50" t="str">
        <f aca="false">IF($B109="","",IFERROR(ROUND(INDEX('Invoice &amp; Delivery Log'!$N$8:$N$157,MATCH($B109,'Invoice &amp; Delivery Log'!$A$8:$A$157,0))-$O109,2),""))</f>
        <v/>
      </c>
      <c r="Q109" s="53" t="str">
        <f aca="false">IF($A109="","",IF($R109="","OK","REVIEW"))</f>
        <v/>
      </c>
      <c r="R109" s="62" t="str">
        <f aca="false">IF($A109="","",TRIM(IF($B109="","Missing invoice ID. ","")&amp;IF(AND($B109&lt;&gt;"",COUNTIFS('Invoice &amp; Delivery Log'!$A$8:$A$157,$B109)=0),"Invoice ID not found in the invoice log. ","")&amp;IF(COUNTIFS('Payments Log'!$A$8:$A$207,$A109)&gt;1,"Duplicate payment ID. ","")&amp;IF(N($F109)&lt;=0,"Payment amount must be greater than zero. ","")&amp;IF($E109="","Missing payment date. ","")&amp;IF(AND($E109&lt;&gt;"",$J109&lt;&gt;"",$E109&lt;$J109),"Payment dated before the invoice date. ","")&amp;IF(AND($E109&lt;&gt;"",$E109&gt;Settings!$C$5),"Payment date is in the future. ","")&amp;IF(ROUND(N($P109),2)&lt;0,"Payment exceeds the invoice balance. ","")&amp;IF($G109="","Missing payment method. ","")))</f>
        <v/>
      </c>
    </row>
    <row r="110" customFormat="false" ht="15" hidden="false" customHeight="true" outlineLevel="0" collapsed="false">
      <c r="A110" s="44"/>
      <c r="B110" s="44"/>
      <c r="C110" s="63" t="str">
        <f aca="false">IF($B110="","",IFERROR(INDEX('Invoice &amp; Delivery Log'!$B$8:$B$157,MATCH($B110,'Invoice &amp; Delivery Log'!$A$8:$A$157,0)),""))</f>
        <v/>
      </c>
      <c r="D110" s="55" t="str">
        <f aca="false">IF($B110="","",IFERROR(INDEX('Invoice &amp; Delivery Log'!$C$8:$C$157,MATCH($B110,'Invoice &amp; Delivery Log'!$A$8:$A$157,0)),"INVOICE NOT FOUND"))</f>
        <v/>
      </c>
      <c r="E110" s="56"/>
      <c r="F110" s="58"/>
      <c r="G110" s="44"/>
      <c r="H110" s="45"/>
      <c r="I110" s="45"/>
      <c r="J110" s="64" t="str">
        <f aca="false">IF($B110="","",IFERROR(INDEX('Invoice &amp; Delivery Log'!$H$8:$H$157,MATCH($B110,'Invoice &amp; Delivery Log'!$A$8:$A$157,0)),""))</f>
        <v/>
      </c>
      <c r="K110" s="64" t="str">
        <f aca="false">IF($B110="","",IFERROR(INDEX('Invoice &amp; Delivery Log'!$M$8:$M$157,MATCH($B110,'Invoice &amp; Delivery Log'!$A$8:$A$157,0)),""))</f>
        <v/>
      </c>
      <c r="L110" s="47" t="str">
        <f aca="false">IF(OR($E110="",$J110=""),"",$E110-$J110)</f>
        <v/>
      </c>
      <c r="M110" s="47" t="str">
        <f aca="false">IF(OR($E110="",$K110=""),"",$E110-$K110)</f>
        <v/>
      </c>
      <c r="N110" s="36" t="str">
        <f aca="false">IF(OR($E110="",$K110=""),"n/a",IF($E110&lt;=$K110,"On Time","Late"))</f>
        <v>n/a</v>
      </c>
      <c r="O110" s="30" t="str">
        <f aca="false">IF($B110="","",SUMIFS($F$8:$F110,$B$8:$B110,$B110))</f>
        <v/>
      </c>
      <c r="P110" s="30" t="str">
        <f aca="false">IF($B110="","",IFERROR(ROUND(INDEX('Invoice &amp; Delivery Log'!$N$8:$N$157,MATCH($B110,'Invoice &amp; Delivery Log'!$A$8:$A$157,0))-$O110,2),""))</f>
        <v/>
      </c>
      <c r="Q110" s="36" t="str">
        <f aca="false">IF($A110="","",IF($R110="","OK","REVIEW"))</f>
        <v/>
      </c>
      <c r="R110" s="28" t="str">
        <f aca="false">IF($A110="","",TRIM(IF($B110="","Missing invoice ID. ","")&amp;IF(AND($B110&lt;&gt;"",COUNTIFS('Invoice &amp; Delivery Log'!$A$8:$A$157,$B110)=0),"Invoice ID not found in the invoice log. ","")&amp;IF(COUNTIFS('Payments Log'!$A$8:$A$207,$A110)&gt;1,"Duplicate payment ID. ","")&amp;IF(N($F110)&lt;=0,"Payment amount must be greater than zero. ","")&amp;IF($E110="","Missing payment date. ","")&amp;IF(AND($E110&lt;&gt;"",$J110&lt;&gt;"",$E110&lt;$J110),"Payment dated before the invoice date. ","")&amp;IF(AND($E110&lt;&gt;"",$E110&gt;Settings!$C$5),"Payment date is in the future. ","")&amp;IF(ROUND(N($P110),2)&lt;0,"Payment exceeds the invoice balance. ","")&amp;IF($G110="","Missing payment method. ","")))</f>
        <v/>
      </c>
    </row>
    <row r="111" customFormat="false" ht="15" hidden="false" customHeight="true" outlineLevel="0" collapsed="false">
      <c r="A111" s="44"/>
      <c r="B111" s="44"/>
      <c r="C111" s="65" t="str">
        <f aca="false">IF($B111="","",IFERROR(INDEX('Invoice &amp; Delivery Log'!$B$8:$B$157,MATCH($B111,'Invoice &amp; Delivery Log'!$A$8:$A$157,0)),""))</f>
        <v/>
      </c>
      <c r="D111" s="59" t="str">
        <f aca="false">IF($B111="","",IFERROR(INDEX('Invoice &amp; Delivery Log'!$C$8:$C$157,MATCH($B111,'Invoice &amp; Delivery Log'!$A$8:$A$157,0)),"INVOICE NOT FOUND"))</f>
        <v/>
      </c>
      <c r="E111" s="56"/>
      <c r="F111" s="58"/>
      <c r="G111" s="44"/>
      <c r="H111" s="45"/>
      <c r="I111" s="45"/>
      <c r="J111" s="66" t="str">
        <f aca="false">IF($B111="","",IFERROR(INDEX('Invoice &amp; Delivery Log'!$H$8:$H$157,MATCH($B111,'Invoice &amp; Delivery Log'!$A$8:$A$157,0)),""))</f>
        <v/>
      </c>
      <c r="K111" s="66" t="str">
        <f aca="false">IF($B111="","",IFERROR(INDEX('Invoice &amp; Delivery Log'!$M$8:$M$157,MATCH($B111,'Invoice &amp; Delivery Log'!$A$8:$A$157,0)),""))</f>
        <v/>
      </c>
      <c r="L111" s="52" t="str">
        <f aca="false">IF(OR($E111="",$J111=""),"",$E111-$J111)</f>
        <v/>
      </c>
      <c r="M111" s="52" t="str">
        <f aca="false">IF(OR($E111="",$K111=""),"",$E111-$K111)</f>
        <v/>
      </c>
      <c r="N111" s="53" t="str">
        <f aca="false">IF(OR($E111="",$K111=""),"n/a",IF($E111&lt;=$K111,"On Time","Late"))</f>
        <v>n/a</v>
      </c>
      <c r="O111" s="50" t="str">
        <f aca="false">IF($B111="","",SUMIFS($F$8:$F111,$B$8:$B111,$B111))</f>
        <v/>
      </c>
      <c r="P111" s="50" t="str">
        <f aca="false">IF($B111="","",IFERROR(ROUND(INDEX('Invoice &amp; Delivery Log'!$N$8:$N$157,MATCH($B111,'Invoice &amp; Delivery Log'!$A$8:$A$157,0))-$O111,2),""))</f>
        <v/>
      </c>
      <c r="Q111" s="53" t="str">
        <f aca="false">IF($A111="","",IF($R111="","OK","REVIEW"))</f>
        <v/>
      </c>
      <c r="R111" s="62" t="str">
        <f aca="false">IF($A111="","",TRIM(IF($B111="","Missing invoice ID. ","")&amp;IF(AND($B111&lt;&gt;"",COUNTIFS('Invoice &amp; Delivery Log'!$A$8:$A$157,$B111)=0),"Invoice ID not found in the invoice log. ","")&amp;IF(COUNTIFS('Payments Log'!$A$8:$A$207,$A111)&gt;1,"Duplicate payment ID. ","")&amp;IF(N($F111)&lt;=0,"Payment amount must be greater than zero. ","")&amp;IF($E111="","Missing payment date. ","")&amp;IF(AND($E111&lt;&gt;"",$J111&lt;&gt;"",$E111&lt;$J111),"Payment dated before the invoice date. ","")&amp;IF(AND($E111&lt;&gt;"",$E111&gt;Settings!$C$5),"Payment date is in the future. ","")&amp;IF(ROUND(N($P111),2)&lt;0,"Payment exceeds the invoice balance. ","")&amp;IF($G111="","Missing payment method. ","")))</f>
        <v/>
      </c>
    </row>
    <row r="112" customFormat="false" ht="15" hidden="false" customHeight="true" outlineLevel="0" collapsed="false">
      <c r="A112" s="44"/>
      <c r="B112" s="44"/>
      <c r="C112" s="63" t="str">
        <f aca="false">IF($B112="","",IFERROR(INDEX('Invoice &amp; Delivery Log'!$B$8:$B$157,MATCH($B112,'Invoice &amp; Delivery Log'!$A$8:$A$157,0)),""))</f>
        <v/>
      </c>
      <c r="D112" s="55" t="str">
        <f aca="false">IF($B112="","",IFERROR(INDEX('Invoice &amp; Delivery Log'!$C$8:$C$157,MATCH($B112,'Invoice &amp; Delivery Log'!$A$8:$A$157,0)),"INVOICE NOT FOUND"))</f>
        <v/>
      </c>
      <c r="E112" s="56"/>
      <c r="F112" s="58"/>
      <c r="G112" s="44"/>
      <c r="H112" s="45"/>
      <c r="I112" s="45"/>
      <c r="J112" s="64" t="str">
        <f aca="false">IF($B112="","",IFERROR(INDEX('Invoice &amp; Delivery Log'!$H$8:$H$157,MATCH($B112,'Invoice &amp; Delivery Log'!$A$8:$A$157,0)),""))</f>
        <v/>
      </c>
      <c r="K112" s="64" t="str">
        <f aca="false">IF($B112="","",IFERROR(INDEX('Invoice &amp; Delivery Log'!$M$8:$M$157,MATCH($B112,'Invoice &amp; Delivery Log'!$A$8:$A$157,0)),""))</f>
        <v/>
      </c>
      <c r="L112" s="47" t="str">
        <f aca="false">IF(OR($E112="",$J112=""),"",$E112-$J112)</f>
        <v/>
      </c>
      <c r="M112" s="47" t="str">
        <f aca="false">IF(OR($E112="",$K112=""),"",$E112-$K112)</f>
        <v/>
      </c>
      <c r="N112" s="36" t="str">
        <f aca="false">IF(OR($E112="",$K112=""),"n/a",IF($E112&lt;=$K112,"On Time","Late"))</f>
        <v>n/a</v>
      </c>
      <c r="O112" s="30" t="str">
        <f aca="false">IF($B112="","",SUMIFS($F$8:$F112,$B$8:$B112,$B112))</f>
        <v/>
      </c>
      <c r="P112" s="30" t="str">
        <f aca="false">IF($B112="","",IFERROR(ROUND(INDEX('Invoice &amp; Delivery Log'!$N$8:$N$157,MATCH($B112,'Invoice &amp; Delivery Log'!$A$8:$A$157,0))-$O112,2),""))</f>
        <v/>
      </c>
      <c r="Q112" s="36" t="str">
        <f aca="false">IF($A112="","",IF($R112="","OK","REVIEW"))</f>
        <v/>
      </c>
      <c r="R112" s="28" t="str">
        <f aca="false">IF($A112="","",TRIM(IF($B112="","Missing invoice ID. ","")&amp;IF(AND($B112&lt;&gt;"",COUNTIFS('Invoice &amp; Delivery Log'!$A$8:$A$157,$B112)=0),"Invoice ID not found in the invoice log. ","")&amp;IF(COUNTIFS('Payments Log'!$A$8:$A$207,$A112)&gt;1,"Duplicate payment ID. ","")&amp;IF(N($F112)&lt;=0,"Payment amount must be greater than zero. ","")&amp;IF($E112="","Missing payment date. ","")&amp;IF(AND($E112&lt;&gt;"",$J112&lt;&gt;"",$E112&lt;$J112),"Payment dated before the invoice date. ","")&amp;IF(AND($E112&lt;&gt;"",$E112&gt;Settings!$C$5),"Payment date is in the future. ","")&amp;IF(ROUND(N($P112),2)&lt;0,"Payment exceeds the invoice balance. ","")&amp;IF($G112="","Missing payment method. ","")))</f>
        <v/>
      </c>
    </row>
    <row r="113" customFormat="false" ht="15" hidden="false" customHeight="true" outlineLevel="0" collapsed="false">
      <c r="A113" s="44"/>
      <c r="B113" s="44"/>
      <c r="C113" s="65" t="str">
        <f aca="false">IF($B113="","",IFERROR(INDEX('Invoice &amp; Delivery Log'!$B$8:$B$157,MATCH($B113,'Invoice &amp; Delivery Log'!$A$8:$A$157,0)),""))</f>
        <v/>
      </c>
      <c r="D113" s="59" t="str">
        <f aca="false">IF($B113="","",IFERROR(INDEX('Invoice &amp; Delivery Log'!$C$8:$C$157,MATCH($B113,'Invoice &amp; Delivery Log'!$A$8:$A$157,0)),"INVOICE NOT FOUND"))</f>
        <v/>
      </c>
      <c r="E113" s="56"/>
      <c r="F113" s="58"/>
      <c r="G113" s="44"/>
      <c r="H113" s="45"/>
      <c r="I113" s="45"/>
      <c r="J113" s="66" t="str">
        <f aca="false">IF($B113="","",IFERROR(INDEX('Invoice &amp; Delivery Log'!$H$8:$H$157,MATCH($B113,'Invoice &amp; Delivery Log'!$A$8:$A$157,0)),""))</f>
        <v/>
      </c>
      <c r="K113" s="66" t="str">
        <f aca="false">IF($B113="","",IFERROR(INDEX('Invoice &amp; Delivery Log'!$M$8:$M$157,MATCH($B113,'Invoice &amp; Delivery Log'!$A$8:$A$157,0)),""))</f>
        <v/>
      </c>
      <c r="L113" s="52" t="str">
        <f aca="false">IF(OR($E113="",$J113=""),"",$E113-$J113)</f>
        <v/>
      </c>
      <c r="M113" s="52" t="str">
        <f aca="false">IF(OR($E113="",$K113=""),"",$E113-$K113)</f>
        <v/>
      </c>
      <c r="N113" s="53" t="str">
        <f aca="false">IF(OR($E113="",$K113=""),"n/a",IF($E113&lt;=$K113,"On Time","Late"))</f>
        <v>n/a</v>
      </c>
      <c r="O113" s="50" t="str">
        <f aca="false">IF($B113="","",SUMIFS($F$8:$F113,$B$8:$B113,$B113))</f>
        <v/>
      </c>
      <c r="P113" s="50" t="str">
        <f aca="false">IF($B113="","",IFERROR(ROUND(INDEX('Invoice &amp; Delivery Log'!$N$8:$N$157,MATCH($B113,'Invoice &amp; Delivery Log'!$A$8:$A$157,0))-$O113,2),""))</f>
        <v/>
      </c>
      <c r="Q113" s="53" t="str">
        <f aca="false">IF($A113="","",IF($R113="","OK","REVIEW"))</f>
        <v/>
      </c>
      <c r="R113" s="62" t="str">
        <f aca="false">IF($A113="","",TRIM(IF($B113="","Missing invoice ID. ","")&amp;IF(AND($B113&lt;&gt;"",COUNTIFS('Invoice &amp; Delivery Log'!$A$8:$A$157,$B113)=0),"Invoice ID not found in the invoice log. ","")&amp;IF(COUNTIFS('Payments Log'!$A$8:$A$207,$A113)&gt;1,"Duplicate payment ID. ","")&amp;IF(N($F113)&lt;=0,"Payment amount must be greater than zero. ","")&amp;IF($E113="","Missing payment date. ","")&amp;IF(AND($E113&lt;&gt;"",$J113&lt;&gt;"",$E113&lt;$J113),"Payment dated before the invoice date. ","")&amp;IF(AND($E113&lt;&gt;"",$E113&gt;Settings!$C$5),"Payment date is in the future. ","")&amp;IF(ROUND(N($P113),2)&lt;0,"Payment exceeds the invoice balance. ","")&amp;IF($G113="","Missing payment method. ","")))</f>
        <v/>
      </c>
    </row>
    <row r="114" customFormat="false" ht="15" hidden="false" customHeight="true" outlineLevel="0" collapsed="false">
      <c r="A114" s="44"/>
      <c r="B114" s="44"/>
      <c r="C114" s="63" t="str">
        <f aca="false">IF($B114="","",IFERROR(INDEX('Invoice &amp; Delivery Log'!$B$8:$B$157,MATCH($B114,'Invoice &amp; Delivery Log'!$A$8:$A$157,0)),""))</f>
        <v/>
      </c>
      <c r="D114" s="55" t="str">
        <f aca="false">IF($B114="","",IFERROR(INDEX('Invoice &amp; Delivery Log'!$C$8:$C$157,MATCH($B114,'Invoice &amp; Delivery Log'!$A$8:$A$157,0)),"INVOICE NOT FOUND"))</f>
        <v/>
      </c>
      <c r="E114" s="56"/>
      <c r="F114" s="58"/>
      <c r="G114" s="44"/>
      <c r="H114" s="45"/>
      <c r="I114" s="45"/>
      <c r="J114" s="64" t="str">
        <f aca="false">IF($B114="","",IFERROR(INDEX('Invoice &amp; Delivery Log'!$H$8:$H$157,MATCH($B114,'Invoice &amp; Delivery Log'!$A$8:$A$157,0)),""))</f>
        <v/>
      </c>
      <c r="K114" s="64" t="str">
        <f aca="false">IF($B114="","",IFERROR(INDEX('Invoice &amp; Delivery Log'!$M$8:$M$157,MATCH($B114,'Invoice &amp; Delivery Log'!$A$8:$A$157,0)),""))</f>
        <v/>
      </c>
      <c r="L114" s="47" t="str">
        <f aca="false">IF(OR($E114="",$J114=""),"",$E114-$J114)</f>
        <v/>
      </c>
      <c r="M114" s="47" t="str">
        <f aca="false">IF(OR($E114="",$K114=""),"",$E114-$K114)</f>
        <v/>
      </c>
      <c r="N114" s="36" t="str">
        <f aca="false">IF(OR($E114="",$K114=""),"n/a",IF($E114&lt;=$K114,"On Time","Late"))</f>
        <v>n/a</v>
      </c>
      <c r="O114" s="30" t="str">
        <f aca="false">IF($B114="","",SUMIFS($F$8:$F114,$B$8:$B114,$B114))</f>
        <v/>
      </c>
      <c r="P114" s="30" t="str">
        <f aca="false">IF($B114="","",IFERROR(ROUND(INDEX('Invoice &amp; Delivery Log'!$N$8:$N$157,MATCH($B114,'Invoice &amp; Delivery Log'!$A$8:$A$157,0))-$O114,2),""))</f>
        <v/>
      </c>
      <c r="Q114" s="36" t="str">
        <f aca="false">IF($A114="","",IF($R114="","OK","REVIEW"))</f>
        <v/>
      </c>
      <c r="R114" s="28" t="str">
        <f aca="false">IF($A114="","",TRIM(IF($B114="","Missing invoice ID. ","")&amp;IF(AND($B114&lt;&gt;"",COUNTIFS('Invoice &amp; Delivery Log'!$A$8:$A$157,$B114)=0),"Invoice ID not found in the invoice log. ","")&amp;IF(COUNTIFS('Payments Log'!$A$8:$A$207,$A114)&gt;1,"Duplicate payment ID. ","")&amp;IF(N($F114)&lt;=0,"Payment amount must be greater than zero. ","")&amp;IF($E114="","Missing payment date. ","")&amp;IF(AND($E114&lt;&gt;"",$J114&lt;&gt;"",$E114&lt;$J114),"Payment dated before the invoice date. ","")&amp;IF(AND($E114&lt;&gt;"",$E114&gt;Settings!$C$5),"Payment date is in the future. ","")&amp;IF(ROUND(N($P114),2)&lt;0,"Payment exceeds the invoice balance. ","")&amp;IF($G114="","Missing payment method. ","")))</f>
        <v/>
      </c>
    </row>
    <row r="115" customFormat="false" ht="15" hidden="false" customHeight="true" outlineLevel="0" collapsed="false">
      <c r="A115" s="44"/>
      <c r="B115" s="44"/>
      <c r="C115" s="65" t="str">
        <f aca="false">IF($B115="","",IFERROR(INDEX('Invoice &amp; Delivery Log'!$B$8:$B$157,MATCH($B115,'Invoice &amp; Delivery Log'!$A$8:$A$157,0)),""))</f>
        <v/>
      </c>
      <c r="D115" s="59" t="str">
        <f aca="false">IF($B115="","",IFERROR(INDEX('Invoice &amp; Delivery Log'!$C$8:$C$157,MATCH($B115,'Invoice &amp; Delivery Log'!$A$8:$A$157,0)),"INVOICE NOT FOUND"))</f>
        <v/>
      </c>
      <c r="E115" s="56"/>
      <c r="F115" s="58"/>
      <c r="G115" s="44"/>
      <c r="H115" s="45"/>
      <c r="I115" s="45"/>
      <c r="J115" s="66" t="str">
        <f aca="false">IF($B115="","",IFERROR(INDEX('Invoice &amp; Delivery Log'!$H$8:$H$157,MATCH($B115,'Invoice &amp; Delivery Log'!$A$8:$A$157,0)),""))</f>
        <v/>
      </c>
      <c r="K115" s="66" t="str">
        <f aca="false">IF($B115="","",IFERROR(INDEX('Invoice &amp; Delivery Log'!$M$8:$M$157,MATCH($B115,'Invoice &amp; Delivery Log'!$A$8:$A$157,0)),""))</f>
        <v/>
      </c>
      <c r="L115" s="52" t="str">
        <f aca="false">IF(OR($E115="",$J115=""),"",$E115-$J115)</f>
        <v/>
      </c>
      <c r="M115" s="52" t="str">
        <f aca="false">IF(OR($E115="",$K115=""),"",$E115-$K115)</f>
        <v/>
      </c>
      <c r="N115" s="53" t="str">
        <f aca="false">IF(OR($E115="",$K115=""),"n/a",IF($E115&lt;=$K115,"On Time","Late"))</f>
        <v>n/a</v>
      </c>
      <c r="O115" s="50" t="str">
        <f aca="false">IF($B115="","",SUMIFS($F$8:$F115,$B$8:$B115,$B115))</f>
        <v/>
      </c>
      <c r="P115" s="50" t="str">
        <f aca="false">IF($B115="","",IFERROR(ROUND(INDEX('Invoice &amp; Delivery Log'!$N$8:$N$157,MATCH($B115,'Invoice &amp; Delivery Log'!$A$8:$A$157,0))-$O115,2),""))</f>
        <v/>
      </c>
      <c r="Q115" s="53" t="str">
        <f aca="false">IF($A115="","",IF($R115="","OK","REVIEW"))</f>
        <v/>
      </c>
      <c r="R115" s="62" t="str">
        <f aca="false">IF($A115="","",TRIM(IF($B115="","Missing invoice ID. ","")&amp;IF(AND($B115&lt;&gt;"",COUNTIFS('Invoice &amp; Delivery Log'!$A$8:$A$157,$B115)=0),"Invoice ID not found in the invoice log. ","")&amp;IF(COUNTIFS('Payments Log'!$A$8:$A$207,$A115)&gt;1,"Duplicate payment ID. ","")&amp;IF(N($F115)&lt;=0,"Payment amount must be greater than zero. ","")&amp;IF($E115="","Missing payment date. ","")&amp;IF(AND($E115&lt;&gt;"",$J115&lt;&gt;"",$E115&lt;$J115),"Payment dated before the invoice date. ","")&amp;IF(AND($E115&lt;&gt;"",$E115&gt;Settings!$C$5),"Payment date is in the future. ","")&amp;IF(ROUND(N($P115),2)&lt;0,"Payment exceeds the invoice balance. ","")&amp;IF($G115="","Missing payment method. ","")))</f>
        <v/>
      </c>
    </row>
    <row r="116" customFormat="false" ht="15" hidden="false" customHeight="true" outlineLevel="0" collapsed="false">
      <c r="A116" s="44"/>
      <c r="B116" s="44"/>
      <c r="C116" s="63" t="str">
        <f aca="false">IF($B116="","",IFERROR(INDEX('Invoice &amp; Delivery Log'!$B$8:$B$157,MATCH($B116,'Invoice &amp; Delivery Log'!$A$8:$A$157,0)),""))</f>
        <v/>
      </c>
      <c r="D116" s="55" t="str">
        <f aca="false">IF($B116="","",IFERROR(INDEX('Invoice &amp; Delivery Log'!$C$8:$C$157,MATCH($B116,'Invoice &amp; Delivery Log'!$A$8:$A$157,0)),"INVOICE NOT FOUND"))</f>
        <v/>
      </c>
      <c r="E116" s="56"/>
      <c r="F116" s="58"/>
      <c r="G116" s="44"/>
      <c r="H116" s="45"/>
      <c r="I116" s="45"/>
      <c r="J116" s="64" t="str">
        <f aca="false">IF($B116="","",IFERROR(INDEX('Invoice &amp; Delivery Log'!$H$8:$H$157,MATCH($B116,'Invoice &amp; Delivery Log'!$A$8:$A$157,0)),""))</f>
        <v/>
      </c>
      <c r="K116" s="64" t="str">
        <f aca="false">IF($B116="","",IFERROR(INDEX('Invoice &amp; Delivery Log'!$M$8:$M$157,MATCH($B116,'Invoice &amp; Delivery Log'!$A$8:$A$157,0)),""))</f>
        <v/>
      </c>
      <c r="L116" s="47" t="str">
        <f aca="false">IF(OR($E116="",$J116=""),"",$E116-$J116)</f>
        <v/>
      </c>
      <c r="M116" s="47" t="str">
        <f aca="false">IF(OR($E116="",$K116=""),"",$E116-$K116)</f>
        <v/>
      </c>
      <c r="N116" s="36" t="str">
        <f aca="false">IF(OR($E116="",$K116=""),"n/a",IF($E116&lt;=$K116,"On Time","Late"))</f>
        <v>n/a</v>
      </c>
      <c r="O116" s="30" t="str">
        <f aca="false">IF($B116="","",SUMIFS($F$8:$F116,$B$8:$B116,$B116))</f>
        <v/>
      </c>
      <c r="P116" s="30" t="str">
        <f aca="false">IF($B116="","",IFERROR(ROUND(INDEX('Invoice &amp; Delivery Log'!$N$8:$N$157,MATCH($B116,'Invoice &amp; Delivery Log'!$A$8:$A$157,0))-$O116,2),""))</f>
        <v/>
      </c>
      <c r="Q116" s="36" t="str">
        <f aca="false">IF($A116="","",IF($R116="","OK","REVIEW"))</f>
        <v/>
      </c>
      <c r="R116" s="28" t="str">
        <f aca="false">IF($A116="","",TRIM(IF($B116="","Missing invoice ID. ","")&amp;IF(AND($B116&lt;&gt;"",COUNTIFS('Invoice &amp; Delivery Log'!$A$8:$A$157,$B116)=0),"Invoice ID not found in the invoice log. ","")&amp;IF(COUNTIFS('Payments Log'!$A$8:$A$207,$A116)&gt;1,"Duplicate payment ID. ","")&amp;IF(N($F116)&lt;=0,"Payment amount must be greater than zero. ","")&amp;IF($E116="","Missing payment date. ","")&amp;IF(AND($E116&lt;&gt;"",$J116&lt;&gt;"",$E116&lt;$J116),"Payment dated before the invoice date. ","")&amp;IF(AND($E116&lt;&gt;"",$E116&gt;Settings!$C$5),"Payment date is in the future. ","")&amp;IF(ROUND(N($P116),2)&lt;0,"Payment exceeds the invoice balance. ","")&amp;IF($G116="","Missing payment method. ","")))</f>
        <v/>
      </c>
    </row>
    <row r="117" customFormat="false" ht="15" hidden="false" customHeight="true" outlineLevel="0" collapsed="false">
      <c r="A117" s="44"/>
      <c r="B117" s="44"/>
      <c r="C117" s="65" t="str">
        <f aca="false">IF($B117="","",IFERROR(INDEX('Invoice &amp; Delivery Log'!$B$8:$B$157,MATCH($B117,'Invoice &amp; Delivery Log'!$A$8:$A$157,0)),""))</f>
        <v/>
      </c>
      <c r="D117" s="59" t="str">
        <f aca="false">IF($B117="","",IFERROR(INDEX('Invoice &amp; Delivery Log'!$C$8:$C$157,MATCH($B117,'Invoice &amp; Delivery Log'!$A$8:$A$157,0)),"INVOICE NOT FOUND"))</f>
        <v/>
      </c>
      <c r="E117" s="56"/>
      <c r="F117" s="58"/>
      <c r="G117" s="44"/>
      <c r="H117" s="45"/>
      <c r="I117" s="45"/>
      <c r="J117" s="66" t="str">
        <f aca="false">IF($B117="","",IFERROR(INDEX('Invoice &amp; Delivery Log'!$H$8:$H$157,MATCH($B117,'Invoice &amp; Delivery Log'!$A$8:$A$157,0)),""))</f>
        <v/>
      </c>
      <c r="K117" s="66" t="str">
        <f aca="false">IF($B117="","",IFERROR(INDEX('Invoice &amp; Delivery Log'!$M$8:$M$157,MATCH($B117,'Invoice &amp; Delivery Log'!$A$8:$A$157,0)),""))</f>
        <v/>
      </c>
      <c r="L117" s="52" t="str">
        <f aca="false">IF(OR($E117="",$J117=""),"",$E117-$J117)</f>
        <v/>
      </c>
      <c r="M117" s="52" t="str">
        <f aca="false">IF(OR($E117="",$K117=""),"",$E117-$K117)</f>
        <v/>
      </c>
      <c r="N117" s="53" t="str">
        <f aca="false">IF(OR($E117="",$K117=""),"n/a",IF($E117&lt;=$K117,"On Time","Late"))</f>
        <v>n/a</v>
      </c>
      <c r="O117" s="50" t="str">
        <f aca="false">IF($B117="","",SUMIFS($F$8:$F117,$B$8:$B117,$B117))</f>
        <v/>
      </c>
      <c r="P117" s="50" t="str">
        <f aca="false">IF($B117="","",IFERROR(ROUND(INDEX('Invoice &amp; Delivery Log'!$N$8:$N$157,MATCH($B117,'Invoice &amp; Delivery Log'!$A$8:$A$157,0))-$O117,2),""))</f>
        <v/>
      </c>
      <c r="Q117" s="53" t="str">
        <f aca="false">IF($A117="","",IF($R117="","OK","REVIEW"))</f>
        <v/>
      </c>
      <c r="R117" s="62" t="str">
        <f aca="false">IF($A117="","",TRIM(IF($B117="","Missing invoice ID. ","")&amp;IF(AND($B117&lt;&gt;"",COUNTIFS('Invoice &amp; Delivery Log'!$A$8:$A$157,$B117)=0),"Invoice ID not found in the invoice log. ","")&amp;IF(COUNTIFS('Payments Log'!$A$8:$A$207,$A117)&gt;1,"Duplicate payment ID. ","")&amp;IF(N($F117)&lt;=0,"Payment amount must be greater than zero. ","")&amp;IF($E117="","Missing payment date. ","")&amp;IF(AND($E117&lt;&gt;"",$J117&lt;&gt;"",$E117&lt;$J117),"Payment dated before the invoice date. ","")&amp;IF(AND($E117&lt;&gt;"",$E117&gt;Settings!$C$5),"Payment date is in the future. ","")&amp;IF(ROUND(N($P117),2)&lt;0,"Payment exceeds the invoice balance. ","")&amp;IF($G117="","Missing payment method. ","")))</f>
        <v/>
      </c>
    </row>
    <row r="118" customFormat="false" ht="15" hidden="false" customHeight="true" outlineLevel="0" collapsed="false">
      <c r="A118" s="44"/>
      <c r="B118" s="44"/>
      <c r="C118" s="63" t="str">
        <f aca="false">IF($B118="","",IFERROR(INDEX('Invoice &amp; Delivery Log'!$B$8:$B$157,MATCH($B118,'Invoice &amp; Delivery Log'!$A$8:$A$157,0)),""))</f>
        <v/>
      </c>
      <c r="D118" s="55" t="str">
        <f aca="false">IF($B118="","",IFERROR(INDEX('Invoice &amp; Delivery Log'!$C$8:$C$157,MATCH($B118,'Invoice &amp; Delivery Log'!$A$8:$A$157,0)),"INVOICE NOT FOUND"))</f>
        <v/>
      </c>
      <c r="E118" s="56"/>
      <c r="F118" s="58"/>
      <c r="G118" s="44"/>
      <c r="H118" s="45"/>
      <c r="I118" s="45"/>
      <c r="J118" s="64" t="str">
        <f aca="false">IF($B118="","",IFERROR(INDEX('Invoice &amp; Delivery Log'!$H$8:$H$157,MATCH($B118,'Invoice &amp; Delivery Log'!$A$8:$A$157,0)),""))</f>
        <v/>
      </c>
      <c r="K118" s="64" t="str">
        <f aca="false">IF($B118="","",IFERROR(INDEX('Invoice &amp; Delivery Log'!$M$8:$M$157,MATCH($B118,'Invoice &amp; Delivery Log'!$A$8:$A$157,0)),""))</f>
        <v/>
      </c>
      <c r="L118" s="47" t="str">
        <f aca="false">IF(OR($E118="",$J118=""),"",$E118-$J118)</f>
        <v/>
      </c>
      <c r="M118" s="47" t="str">
        <f aca="false">IF(OR($E118="",$K118=""),"",$E118-$K118)</f>
        <v/>
      </c>
      <c r="N118" s="36" t="str">
        <f aca="false">IF(OR($E118="",$K118=""),"n/a",IF($E118&lt;=$K118,"On Time","Late"))</f>
        <v>n/a</v>
      </c>
      <c r="O118" s="30" t="str">
        <f aca="false">IF($B118="","",SUMIFS($F$8:$F118,$B$8:$B118,$B118))</f>
        <v/>
      </c>
      <c r="P118" s="30" t="str">
        <f aca="false">IF($B118="","",IFERROR(ROUND(INDEX('Invoice &amp; Delivery Log'!$N$8:$N$157,MATCH($B118,'Invoice &amp; Delivery Log'!$A$8:$A$157,0))-$O118,2),""))</f>
        <v/>
      </c>
      <c r="Q118" s="36" t="str">
        <f aca="false">IF($A118="","",IF($R118="","OK","REVIEW"))</f>
        <v/>
      </c>
      <c r="R118" s="28" t="str">
        <f aca="false">IF($A118="","",TRIM(IF($B118="","Missing invoice ID. ","")&amp;IF(AND($B118&lt;&gt;"",COUNTIFS('Invoice &amp; Delivery Log'!$A$8:$A$157,$B118)=0),"Invoice ID not found in the invoice log. ","")&amp;IF(COUNTIFS('Payments Log'!$A$8:$A$207,$A118)&gt;1,"Duplicate payment ID. ","")&amp;IF(N($F118)&lt;=0,"Payment amount must be greater than zero. ","")&amp;IF($E118="","Missing payment date. ","")&amp;IF(AND($E118&lt;&gt;"",$J118&lt;&gt;"",$E118&lt;$J118),"Payment dated before the invoice date. ","")&amp;IF(AND($E118&lt;&gt;"",$E118&gt;Settings!$C$5),"Payment date is in the future. ","")&amp;IF(ROUND(N($P118),2)&lt;0,"Payment exceeds the invoice balance. ","")&amp;IF($G118="","Missing payment method. ","")))</f>
        <v/>
      </c>
    </row>
    <row r="119" customFormat="false" ht="15" hidden="false" customHeight="true" outlineLevel="0" collapsed="false">
      <c r="A119" s="44"/>
      <c r="B119" s="44"/>
      <c r="C119" s="65" t="str">
        <f aca="false">IF($B119="","",IFERROR(INDEX('Invoice &amp; Delivery Log'!$B$8:$B$157,MATCH($B119,'Invoice &amp; Delivery Log'!$A$8:$A$157,0)),""))</f>
        <v/>
      </c>
      <c r="D119" s="59" t="str">
        <f aca="false">IF($B119="","",IFERROR(INDEX('Invoice &amp; Delivery Log'!$C$8:$C$157,MATCH($B119,'Invoice &amp; Delivery Log'!$A$8:$A$157,0)),"INVOICE NOT FOUND"))</f>
        <v/>
      </c>
      <c r="E119" s="56"/>
      <c r="F119" s="58"/>
      <c r="G119" s="44"/>
      <c r="H119" s="45"/>
      <c r="I119" s="45"/>
      <c r="J119" s="66" t="str">
        <f aca="false">IF($B119="","",IFERROR(INDEX('Invoice &amp; Delivery Log'!$H$8:$H$157,MATCH($B119,'Invoice &amp; Delivery Log'!$A$8:$A$157,0)),""))</f>
        <v/>
      </c>
      <c r="K119" s="66" t="str">
        <f aca="false">IF($B119="","",IFERROR(INDEX('Invoice &amp; Delivery Log'!$M$8:$M$157,MATCH($B119,'Invoice &amp; Delivery Log'!$A$8:$A$157,0)),""))</f>
        <v/>
      </c>
      <c r="L119" s="52" t="str">
        <f aca="false">IF(OR($E119="",$J119=""),"",$E119-$J119)</f>
        <v/>
      </c>
      <c r="M119" s="52" t="str">
        <f aca="false">IF(OR($E119="",$K119=""),"",$E119-$K119)</f>
        <v/>
      </c>
      <c r="N119" s="53" t="str">
        <f aca="false">IF(OR($E119="",$K119=""),"n/a",IF($E119&lt;=$K119,"On Time","Late"))</f>
        <v>n/a</v>
      </c>
      <c r="O119" s="50" t="str">
        <f aca="false">IF($B119="","",SUMIFS($F$8:$F119,$B$8:$B119,$B119))</f>
        <v/>
      </c>
      <c r="P119" s="50" t="str">
        <f aca="false">IF($B119="","",IFERROR(ROUND(INDEX('Invoice &amp; Delivery Log'!$N$8:$N$157,MATCH($B119,'Invoice &amp; Delivery Log'!$A$8:$A$157,0))-$O119,2),""))</f>
        <v/>
      </c>
      <c r="Q119" s="53" t="str">
        <f aca="false">IF($A119="","",IF($R119="","OK","REVIEW"))</f>
        <v/>
      </c>
      <c r="R119" s="62" t="str">
        <f aca="false">IF($A119="","",TRIM(IF($B119="","Missing invoice ID. ","")&amp;IF(AND($B119&lt;&gt;"",COUNTIFS('Invoice &amp; Delivery Log'!$A$8:$A$157,$B119)=0),"Invoice ID not found in the invoice log. ","")&amp;IF(COUNTIFS('Payments Log'!$A$8:$A$207,$A119)&gt;1,"Duplicate payment ID. ","")&amp;IF(N($F119)&lt;=0,"Payment amount must be greater than zero. ","")&amp;IF($E119="","Missing payment date. ","")&amp;IF(AND($E119&lt;&gt;"",$J119&lt;&gt;"",$E119&lt;$J119),"Payment dated before the invoice date. ","")&amp;IF(AND($E119&lt;&gt;"",$E119&gt;Settings!$C$5),"Payment date is in the future. ","")&amp;IF(ROUND(N($P119),2)&lt;0,"Payment exceeds the invoice balance. ","")&amp;IF($G119="","Missing payment method. ","")))</f>
        <v/>
      </c>
    </row>
    <row r="120" customFormat="false" ht="15" hidden="false" customHeight="true" outlineLevel="0" collapsed="false">
      <c r="A120" s="44"/>
      <c r="B120" s="44"/>
      <c r="C120" s="63" t="str">
        <f aca="false">IF($B120="","",IFERROR(INDEX('Invoice &amp; Delivery Log'!$B$8:$B$157,MATCH($B120,'Invoice &amp; Delivery Log'!$A$8:$A$157,0)),""))</f>
        <v/>
      </c>
      <c r="D120" s="55" t="str">
        <f aca="false">IF($B120="","",IFERROR(INDEX('Invoice &amp; Delivery Log'!$C$8:$C$157,MATCH($B120,'Invoice &amp; Delivery Log'!$A$8:$A$157,0)),"INVOICE NOT FOUND"))</f>
        <v/>
      </c>
      <c r="E120" s="56"/>
      <c r="F120" s="58"/>
      <c r="G120" s="44"/>
      <c r="H120" s="45"/>
      <c r="I120" s="45"/>
      <c r="J120" s="64" t="str">
        <f aca="false">IF($B120="","",IFERROR(INDEX('Invoice &amp; Delivery Log'!$H$8:$H$157,MATCH($B120,'Invoice &amp; Delivery Log'!$A$8:$A$157,0)),""))</f>
        <v/>
      </c>
      <c r="K120" s="64" t="str">
        <f aca="false">IF($B120="","",IFERROR(INDEX('Invoice &amp; Delivery Log'!$M$8:$M$157,MATCH($B120,'Invoice &amp; Delivery Log'!$A$8:$A$157,0)),""))</f>
        <v/>
      </c>
      <c r="L120" s="47" t="str">
        <f aca="false">IF(OR($E120="",$J120=""),"",$E120-$J120)</f>
        <v/>
      </c>
      <c r="M120" s="47" t="str">
        <f aca="false">IF(OR($E120="",$K120=""),"",$E120-$K120)</f>
        <v/>
      </c>
      <c r="N120" s="36" t="str">
        <f aca="false">IF(OR($E120="",$K120=""),"n/a",IF($E120&lt;=$K120,"On Time","Late"))</f>
        <v>n/a</v>
      </c>
      <c r="O120" s="30" t="str">
        <f aca="false">IF($B120="","",SUMIFS($F$8:$F120,$B$8:$B120,$B120))</f>
        <v/>
      </c>
      <c r="P120" s="30" t="str">
        <f aca="false">IF($B120="","",IFERROR(ROUND(INDEX('Invoice &amp; Delivery Log'!$N$8:$N$157,MATCH($B120,'Invoice &amp; Delivery Log'!$A$8:$A$157,0))-$O120,2),""))</f>
        <v/>
      </c>
      <c r="Q120" s="36" t="str">
        <f aca="false">IF($A120="","",IF($R120="","OK","REVIEW"))</f>
        <v/>
      </c>
      <c r="R120" s="28" t="str">
        <f aca="false">IF($A120="","",TRIM(IF($B120="","Missing invoice ID. ","")&amp;IF(AND($B120&lt;&gt;"",COUNTIFS('Invoice &amp; Delivery Log'!$A$8:$A$157,$B120)=0),"Invoice ID not found in the invoice log. ","")&amp;IF(COUNTIFS('Payments Log'!$A$8:$A$207,$A120)&gt;1,"Duplicate payment ID. ","")&amp;IF(N($F120)&lt;=0,"Payment amount must be greater than zero. ","")&amp;IF($E120="","Missing payment date. ","")&amp;IF(AND($E120&lt;&gt;"",$J120&lt;&gt;"",$E120&lt;$J120),"Payment dated before the invoice date. ","")&amp;IF(AND($E120&lt;&gt;"",$E120&gt;Settings!$C$5),"Payment date is in the future. ","")&amp;IF(ROUND(N($P120),2)&lt;0,"Payment exceeds the invoice balance. ","")&amp;IF($G120="","Missing payment method. ","")))</f>
        <v/>
      </c>
    </row>
    <row r="121" customFormat="false" ht="15" hidden="false" customHeight="true" outlineLevel="0" collapsed="false">
      <c r="A121" s="44"/>
      <c r="B121" s="44"/>
      <c r="C121" s="65" t="str">
        <f aca="false">IF($B121="","",IFERROR(INDEX('Invoice &amp; Delivery Log'!$B$8:$B$157,MATCH($B121,'Invoice &amp; Delivery Log'!$A$8:$A$157,0)),""))</f>
        <v/>
      </c>
      <c r="D121" s="59" t="str">
        <f aca="false">IF($B121="","",IFERROR(INDEX('Invoice &amp; Delivery Log'!$C$8:$C$157,MATCH($B121,'Invoice &amp; Delivery Log'!$A$8:$A$157,0)),"INVOICE NOT FOUND"))</f>
        <v/>
      </c>
      <c r="E121" s="56"/>
      <c r="F121" s="58"/>
      <c r="G121" s="44"/>
      <c r="H121" s="45"/>
      <c r="I121" s="45"/>
      <c r="J121" s="66" t="str">
        <f aca="false">IF($B121="","",IFERROR(INDEX('Invoice &amp; Delivery Log'!$H$8:$H$157,MATCH($B121,'Invoice &amp; Delivery Log'!$A$8:$A$157,0)),""))</f>
        <v/>
      </c>
      <c r="K121" s="66" t="str">
        <f aca="false">IF($B121="","",IFERROR(INDEX('Invoice &amp; Delivery Log'!$M$8:$M$157,MATCH($B121,'Invoice &amp; Delivery Log'!$A$8:$A$157,0)),""))</f>
        <v/>
      </c>
      <c r="L121" s="52" t="str">
        <f aca="false">IF(OR($E121="",$J121=""),"",$E121-$J121)</f>
        <v/>
      </c>
      <c r="M121" s="52" t="str">
        <f aca="false">IF(OR($E121="",$K121=""),"",$E121-$K121)</f>
        <v/>
      </c>
      <c r="N121" s="53" t="str">
        <f aca="false">IF(OR($E121="",$K121=""),"n/a",IF($E121&lt;=$K121,"On Time","Late"))</f>
        <v>n/a</v>
      </c>
      <c r="O121" s="50" t="str">
        <f aca="false">IF($B121="","",SUMIFS($F$8:$F121,$B$8:$B121,$B121))</f>
        <v/>
      </c>
      <c r="P121" s="50" t="str">
        <f aca="false">IF($B121="","",IFERROR(ROUND(INDEX('Invoice &amp; Delivery Log'!$N$8:$N$157,MATCH($B121,'Invoice &amp; Delivery Log'!$A$8:$A$157,0))-$O121,2),""))</f>
        <v/>
      </c>
      <c r="Q121" s="53" t="str">
        <f aca="false">IF($A121="","",IF($R121="","OK","REVIEW"))</f>
        <v/>
      </c>
      <c r="R121" s="62" t="str">
        <f aca="false">IF($A121="","",TRIM(IF($B121="","Missing invoice ID. ","")&amp;IF(AND($B121&lt;&gt;"",COUNTIFS('Invoice &amp; Delivery Log'!$A$8:$A$157,$B121)=0),"Invoice ID not found in the invoice log. ","")&amp;IF(COUNTIFS('Payments Log'!$A$8:$A$207,$A121)&gt;1,"Duplicate payment ID. ","")&amp;IF(N($F121)&lt;=0,"Payment amount must be greater than zero. ","")&amp;IF($E121="","Missing payment date. ","")&amp;IF(AND($E121&lt;&gt;"",$J121&lt;&gt;"",$E121&lt;$J121),"Payment dated before the invoice date. ","")&amp;IF(AND($E121&lt;&gt;"",$E121&gt;Settings!$C$5),"Payment date is in the future. ","")&amp;IF(ROUND(N($P121),2)&lt;0,"Payment exceeds the invoice balance. ","")&amp;IF($G121="","Missing payment method. ","")))</f>
        <v/>
      </c>
    </row>
    <row r="122" customFormat="false" ht="15" hidden="false" customHeight="true" outlineLevel="0" collapsed="false">
      <c r="A122" s="44"/>
      <c r="B122" s="44"/>
      <c r="C122" s="63" t="str">
        <f aca="false">IF($B122="","",IFERROR(INDEX('Invoice &amp; Delivery Log'!$B$8:$B$157,MATCH($B122,'Invoice &amp; Delivery Log'!$A$8:$A$157,0)),""))</f>
        <v/>
      </c>
      <c r="D122" s="55" t="str">
        <f aca="false">IF($B122="","",IFERROR(INDEX('Invoice &amp; Delivery Log'!$C$8:$C$157,MATCH($B122,'Invoice &amp; Delivery Log'!$A$8:$A$157,0)),"INVOICE NOT FOUND"))</f>
        <v/>
      </c>
      <c r="E122" s="56"/>
      <c r="F122" s="58"/>
      <c r="G122" s="44"/>
      <c r="H122" s="45"/>
      <c r="I122" s="45"/>
      <c r="J122" s="64" t="str">
        <f aca="false">IF($B122="","",IFERROR(INDEX('Invoice &amp; Delivery Log'!$H$8:$H$157,MATCH($B122,'Invoice &amp; Delivery Log'!$A$8:$A$157,0)),""))</f>
        <v/>
      </c>
      <c r="K122" s="64" t="str">
        <f aca="false">IF($B122="","",IFERROR(INDEX('Invoice &amp; Delivery Log'!$M$8:$M$157,MATCH($B122,'Invoice &amp; Delivery Log'!$A$8:$A$157,0)),""))</f>
        <v/>
      </c>
      <c r="L122" s="47" t="str">
        <f aca="false">IF(OR($E122="",$J122=""),"",$E122-$J122)</f>
        <v/>
      </c>
      <c r="M122" s="47" t="str">
        <f aca="false">IF(OR($E122="",$K122=""),"",$E122-$K122)</f>
        <v/>
      </c>
      <c r="N122" s="36" t="str">
        <f aca="false">IF(OR($E122="",$K122=""),"n/a",IF($E122&lt;=$K122,"On Time","Late"))</f>
        <v>n/a</v>
      </c>
      <c r="O122" s="30" t="str">
        <f aca="false">IF($B122="","",SUMIFS($F$8:$F122,$B$8:$B122,$B122))</f>
        <v/>
      </c>
      <c r="P122" s="30" t="str">
        <f aca="false">IF($B122="","",IFERROR(ROUND(INDEX('Invoice &amp; Delivery Log'!$N$8:$N$157,MATCH($B122,'Invoice &amp; Delivery Log'!$A$8:$A$157,0))-$O122,2),""))</f>
        <v/>
      </c>
      <c r="Q122" s="36" t="str">
        <f aca="false">IF($A122="","",IF($R122="","OK","REVIEW"))</f>
        <v/>
      </c>
      <c r="R122" s="28" t="str">
        <f aca="false">IF($A122="","",TRIM(IF($B122="","Missing invoice ID. ","")&amp;IF(AND($B122&lt;&gt;"",COUNTIFS('Invoice &amp; Delivery Log'!$A$8:$A$157,$B122)=0),"Invoice ID not found in the invoice log. ","")&amp;IF(COUNTIFS('Payments Log'!$A$8:$A$207,$A122)&gt;1,"Duplicate payment ID. ","")&amp;IF(N($F122)&lt;=0,"Payment amount must be greater than zero. ","")&amp;IF($E122="","Missing payment date. ","")&amp;IF(AND($E122&lt;&gt;"",$J122&lt;&gt;"",$E122&lt;$J122),"Payment dated before the invoice date. ","")&amp;IF(AND($E122&lt;&gt;"",$E122&gt;Settings!$C$5),"Payment date is in the future. ","")&amp;IF(ROUND(N($P122),2)&lt;0,"Payment exceeds the invoice balance. ","")&amp;IF($G122="","Missing payment method. ","")))</f>
        <v/>
      </c>
    </row>
    <row r="123" customFormat="false" ht="15" hidden="false" customHeight="true" outlineLevel="0" collapsed="false">
      <c r="A123" s="44"/>
      <c r="B123" s="44"/>
      <c r="C123" s="65" t="str">
        <f aca="false">IF($B123="","",IFERROR(INDEX('Invoice &amp; Delivery Log'!$B$8:$B$157,MATCH($B123,'Invoice &amp; Delivery Log'!$A$8:$A$157,0)),""))</f>
        <v/>
      </c>
      <c r="D123" s="59" t="str">
        <f aca="false">IF($B123="","",IFERROR(INDEX('Invoice &amp; Delivery Log'!$C$8:$C$157,MATCH($B123,'Invoice &amp; Delivery Log'!$A$8:$A$157,0)),"INVOICE NOT FOUND"))</f>
        <v/>
      </c>
      <c r="E123" s="56"/>
      <c r="F123" s="58"/>
      <c r="G123" s="44"/>
      <c r="H123" s="45"/>
      <c r="I123" s="45"/>
      <c r="J123" s="66" t="str">
        <f aca="false">IF($B123="","",IFERROR(INDEX('Invoice &amp; Delivery Log'!$H$8:$H$157,MATCH($B123,'Invoice &amp; Delivery Log'!$A$8:$A$157,0)),""))</f>
        <v/>
      </c>
      <c r="K123" s="66" t="str">
        <f aca="false">IF($B123="","",IFERROR(INDEX('Invoice &amp; Delivery Log'!$M$8:$M$157,MATCH($B123,'Invoice &amp; Delivery Log'!$A$8:$A$157,0)),""))</f>
        <v/>
      </c>
      <c r="L123" s="52" t="str">
        <f aca="false">IF(OR($E123="",$J123=""),"",$E123-$J123)</f>
        <v/>
      </c>
      <c r="M123" s="52" t="str">
        <f aca="false">IF(OR($E123="",$K123=""),"",$E123-$K123)</f>
        <v/>
      </c>
      <c r="N123" s="53" t="str">
        <f aca="false">IF(OR($E123="",$K123=""),"n/a",IF($E123&lt;=$K123,"On Time","Late"))</f>
        <v>n/a</v>
      </c>
      <c r="O123" s="50" t="str">
        <f aca="false">IF($B123="","",SUMIFS($F$8:$F123,$B$8:$B123,$B123))</f>
        <v/>
      </c>
      <c r="P123" s="50" t="str">
        <f aca="false">IF($B123="","",IFERROR(ROUND(INDEX('Invoice &amp; Delivery Log'!$N$8:$N$157,MATCH($B123,'Invoice &amp; Delivery Log'!$A$8:$A$157,0))-$O123,2),""))</f>
        <v/>
      </c>
      <c r="Q123" s="53" t="str">
        <f aca="false">IF($A123="","",IF($R123="","OK","REVIEW"))</f>
        <v/>
      </c>
      <c r="R123" s="62" t="str">
        <f aca="false">IF($A123="","",TRIM(IF($B123="","Missing invoice ID. ","")&amp;IF(AND($B123&lt;&gt;"",COUNTIFS('Invoice &amp; Delivery Log'!$A$8:$A$157,$B123)=0),"Invoice ID not found in the invoice log. ","")&amp;IF(COUNTIFS('Payments Log'!$A$8:$A$207,$A123)&gt;1,"Duplicate payment ID. ","")&amp;IF(N($F123)&lt;=0,"Payment amount must be greater than zero. ","")&amp;IF($E123="","Missing payment date. ","")&amp;IF(AND($E123&lt;&gt;"",$J123&lt;&gt;"",$E123&lt;$J123),"Payment dated before the invoice date. ","")&amp;IF(AND($E123&lt;&gt;"",$E123&gt;Settings!$C$5),"Payment date is in the future. ","")&amp;IF(ROUND(N($P123),2)&lt;0,"Payment exceeds the invoice balance. ","")&amp;IF($G123="","Missing payment method. ","")))</f>
        <v/>
      </c>
    </row>
    <row r="124" customFormat="false" ht="15" hidden="false" customHeight="true" outlineLevel="0" collapsed="false">
      <c r="A124" s="44"/>
      <c r="B124" s="44"/>
      <c r="C124" s="63" t="str">
        <f aca="false">IF($B124="","",IFERROR(INDEX('Invoice &amp; Delivery Log'!$B$8:$B$157,MATCH($B124,'Invoice &amp; Delivery Log'!$A$8:$A$157,0)),""))</f>
        <v/>
      </c>
      <c r="D124" s="55" t="str">
        <f aca="false">IF($B124="","",IFERROR(INDEX('Invoice &amp; Delivery Log'!$C$8:$C$157,MATCH($B124,'Invoice &amp; Delivery Log'!$A$8:$A$157,0)),"INVOICE NOT FOUND"))</f>
        <v/>
      </c>
      <c r="E124" s="56"/>
      <c r="F124" s="58"/>
      <c r="G124" s="44"/>
      <c r="H124" s="45"/>
      <c r="I124" s="45"/>
      <c r="J124" s="64" t="str">
        <f aca="false">IF($B124="","",IFERROR(INDEX('Invoice &amp; Delivery Log'!$H$8:$H$157,MATCH($B124,'Invoice &amp; Delivery Log'!$A$8:$A$157,0)),""))</f>
        <v/>
      </c>
      <c r="K124" s="64" t="str">
        <f aca="false">IF($B124="","",IFERROR(INDEX('Invoice &amp; Delivery Log'!$M$8:$M$157,MATCH($B124,'Invoice &amp; Delivery Log'!$A$8:$A$157,0)),""))</f>
        <v/>
      </c>
      <c r="L124" s="47" t="str">
        <f aca="false">IF(OR($E124="",$J124=""),"",$E124-$J124)</f>
        <v/>
      </c>
      <c r="M124" s="47" t="str">
        <f aca="false">IF(OR($E124="",$K124=""),"",$E124-$K124)</f>
        <v/>
      </c>
      <c r="N124" s="36" t="str">
        <f aca="false">IF(OR($E124="",$K124=""),"n/a",IF($E124&lt;=$K124,"On Time","Late"))</f>
        <v>n/a</v>
      </c>
      <c r="O124" s="30" t="str">
        <f aca="false">IF($B124="","",SUMIFS($F$8:$F124,$B$8:$B124,$B124))</f>
        <v/>
      </c>
      <c r="P124" s="30" t="str">
        <f aca="false">IF($B124="","",IFERROR(ROUND(INDEX('Invoice &amp; Delivery Log'!$N$8:$N$157,MATCH($B124,'Invoice &amp; Delivery Log'!$A$8:$A$157,0))-$O124,2),""))</f>
        <v/>
      </c>
      <c r="Q124" s="36" t="str">
        <f aca="false">IF($A124="","",IF($R124="","OK","REVIEW"))</f>
        <v/>
      </c>
      <c r="R124" s="28" t="str">
        <f aca="false">IF($A124="","",TRIM(IF($B124="","Missing invoice ID. ","")&amp;IF(AND($B124&lt;&gt;"",COUNTIFS('Invoice &amp; Delivery Log'!$A$8:$A$157,$B124)=0),"Invoice ID not found in the invoice log. ","")&amp;IF(COUNTIFS('Payments Log'!$A$8:$A$207,$A124)&gt;1,"Duplicate payment ID. ","")&amp;IF(N($F124)&lt;=0,"Payment amount must be greater than zero. ","")&amp;IF($E124="","Missing payment date. ","")&amp;IF(AND($E124&lt;&gt;"",$J124&lt;&gt;"",$E124&lt;$J124),"Payment dated before the invoice date. ","")&amp;IF(AND($E124&lt;&gt;"",$E124&gt;Settings!$C$5),"Payment date is in the future. ","")&amp;IF(ROUND(N($P124),2)&lt;0,"Payment exceeds the invoice balance. ","")&amp;IF($G124="","Missing payment method. ","")))</f>
        <v/>
      </c>
    </row>
    <row r="125" customFormat="false" ht="15" hidden="false" customHeight="true" outlineLevel="0" collapsed="false">
      <c r="A125" s="44"/>
      <c r="B125" s="44"/>
      <c r="C125" s="65" t="str">
        <f aca="false">IF($B125="","",IFERROR(INDEX('Invoice &amp; Delivery Log'!$B$8:$B$157,MATCH($B125,'Invoice &amp; Delivery Log'!$A$8:$A$157,0)),""))</f>
        <v/>
      </c>
      <c r="D125" s="59" t="str">
        <f aca="false">IF($B125="","",IFERROR(INDEX('Invoice &amp; Delivery Log'!$C$8:$C$157,MATCH($B125,'Invoice &amp; Delivery Log'!$A$8:$A$157,0)),"INVOICE NOT FOUND"))</f>
        <v/>
      </c>
      <c r="E125" s="56"/>
      <c r="F125" s="58"/>
      <c r="G125" s="44"/>
      <c r="H125" s="45"/>
      <c r="I125" s="45"/>
      <c r="J125" s="66" t="str">
        <f aca="false">IF($B125="","",IFERROR(INDEX('Invoice &amp; Delivery Log'!$H$8:$H$157,MATCH($B125,'Invoice &amp; Delivery Log'!$A$8:$A$157,0)),""))</f>
        <v/>
      </c>
      <c r="K125" s="66" t="str">
        <f aca="false">IF($B125="","",IFERROR(INDEX('Invoice &amp; Delivery Log'!$M$8:$M$157,MATCH($B125,'Invoice &amp; Delivery Log'!$A$8:$A$157,0)),""))</f>
        <v/>
      </c>
      <c r="L125" s="52" t="str">
        <f aca="false">IF(OR($E125="",$J125=""),"",$E125-$J125)</f>
        <v/>
      </c>
      <c r="M125" s="52" t="str">
        <f aca="false">IF(OR($E125="",$K125=""),"",$E125-$K125)</f>
        <v/>
      </c>
      <c r="N125" s="53" t="str">
        <f aca="false">IF(OR($E125="",$K125=""),"n/a",IF($E125&lt;=$K125,"On Time","Late"))</f>
        <v>n/a</v>
      </c>
      <c r="O125" s="50" t="str">
        <f aca="false">IF($B125="","",SUMIFS($F$8:$F125,$B$8:$B125,$B125))</f>
        <v/>
      </c>
      <c r="P125" s="50" t="str">
        <f aca="false">IF($B125="","",IFERROR(ROUND(INDEX('Invoice &amp; Delivery Log'!$N$8:$N$157,MATCH($B125,'Invoice &amp; Delivery Log'!$A$8:$A$157,0))-$O125,2),""))</f>
        <v/>
      </c>
      <c r="Q125" s="53" t="str">
        <f aca="false">IF($A125="","",IF($R125="","OK","REVIEW"))</f>
        <v/>
      </c>
      <c r="R125" s="62" t="str">
        <f aca="false">IF($A125="","",TRIM(IF($B125="","Missing invoice ID. ","")&amp;IF(AND($B125&lt;&gt;"",COUNTIFS('Invoice &amp; Delivery Log'!$A$8:$A$157,$B125)=0),"Invoice ID not found in the invoice log. ","")&amp;IF(COUNTIFS('Payments Log'!$A$8:$A$207,$A125)&gt;1,"Duplicate payment ID. ","")&amp;IF(N($F125)&lt;=0,"Payment amount must be greater than zero. ","")&amp;IF($E125="","Missing payment date. ","")&amp;IF(AND($E125&lt;&gt;"",$J125&lt;&gt;"",$E125&lt;$J125),"Payment dated before the invoice date. ","")&amp;IF(AND($E125&lt;&gt;"",$E125&gt;Settings!$C$5),"Payment date is in the future. ","")&amp;IF(ROUND(N($P125),2)&lt;0,"Payment exceeds the invoice balance. ","")&amp;IF($G125="","Missing payment method. ","")))</f>
        <v/>
      </c>
    </row>
    <row r="126" customFormat="false" ht="15" hidden="false" customHeight="true" outlineLevel="0" collapsed="false">
      <c r="A126" s="44"/>
      <c r="B126" s="44"/>
      <c r="C126" s="63" t="str">
        <f aca="false">IF($B126="","",IFERROR(INDEX('Invoice &amp; Delivery Log'!$B$8:$B$157,MATCH($B126,'Invoice &amp; Delivery Log'!$A$8:$A$157,0)),""))</f>
        <v/>
      </c>
      <c r="D126" s="55" t="str">
        <f aca="false">IF($B126="","",IFERROR(INDEX('Invoice &amp; Delivery Log'!$C$8:$C$157,MATCH($B126,'Invoice &amp; Delivery Log'!$A$8:$A$157,0)),"INVOICE NOT FOUND"))</f>
        <v/>
      </c>
      <c r="E126" s="56"/>
      <c r="F126" s="58"/>
      <c r="G126" s="44"/>
      <c r="H126" s="45"/>
      <c r="I126" s="45"/>
      <c r="J126" s="64" t="str">
        <f aca="false">IF($B126="","",IFERROR(INDEX('Invoice &amp; Delivery Log'!$H$8:$H$157,MATCH($B126,'Invoice &amp; Delivery Log'!$A$8:$A$157,0)),""))</f>
        <v/>
      </c>
      <c r="K126" s="64" t="str">
        <f aca="false">IF($B126="","",IFERROR(INDEX('Invoice &amp; Delivery Log'!$M$8:$M$157,MATCH($B126,'Invoice &amp; Delivery Log'!$A$8:$A$157,0)),""))</f>
        <v/>
      </c>
      <c r="L126" s="47" t="str">
        <f aca="false">IF(OR($E126="",$J126=""),"",$E126-$J126)</f>
        <v/>
      </c>
      <c r="M126" s="47" t="str">
        <f aca="false">IF(OR($E126="",$K126=""),"",$E126-$K126)</f>
        <v/>
      </c>
      <c r="N126" s="36" t="str">
        <f aca="false">IF(OR($E126="",$K126=""),"n/a",IF($E126&lt;=$K126,"On Time","Late"))</f>
        <v>n/a</v>
      </c>
      <c r="O126" s="30" t="str">
        <f aca="false">IF($B126="","",SUMIFS($F$8:$F126,$B$8:$B126,$B126))</f>
        <v/>
      </c>
      <c r="P126" s="30" t="str">
        <f aca="false">IF($B126="","",IFERROR(ROUND(INDEX('Invoice &amp; Delivery Log'!$N$8:$N$157,MATCH($B126,'Invoice &amp; Delivery Log'!$A$8:$A$157,0))-$O126,2),""))</f>
        <v/>
      </c>
      <c r="Q126" s="36" t="str">
        <f aca="false">IF($A126="","",IF($R126="","OK","REVIEW"))</f>
        <v/>
      </c>
      <c r="R126" s="28" t="str">
        <f aca="false">IF($A126="","",TRIM(IF($B126="","Missing invoice ID. ","")&amp;IF(AND($B126&lt;&gt;"",COUNTIFS('Invoice &amp; Delivery Log'!$A$8:$A$157,$B126)=0),"Invoice ID not found in the invoice log. ","")&amp;IF(COUNTIFS('Payments Log'!$A$8:$A$207,$A126)&gt;1,"Duplicate payment ID. ","")&amp;IF(N($F126)&lt;=0,"Payment amount must be greater than zero. ","")&amp;IF($E126="","Missing payment date. ","")&amp;IF(AND($E126&lt;&gt;"",$J126&lt;&gt;"",$E126&lt;$J126),"Payment dated before the invoice date. ","")&amp;IF(AND($E126&lt;&gt;"",$E126&gt;Settings!$C$5),"Payment date is in the future. ","")&amp;IF(ROUND(N($P126),2)&lt;0,"Payment exceeds the invoice balance. ","")&amp;IF($G126="","Missing payment method. ","")))</f>
        <v/>
      </c>
    </row>
    <row r="127" customFormat="false" ht="15" hidden="false" customHeight="true" outlineLevel="0" collapsed="false">
      <c r="A127" s="44"/>
      <c r="B127" s="44"/>
      <c r="C127" s="65" t="str">
        <f aca="false">IF($B127="","",IFERROR(INDEX('Invoice &amp; Delivery Log'!$B$8:$B$157,MATCH($B127,'Invoice &amp; Delivery Log'!$A$8:$A$157,0)),""))</f>
        <v/>
      </c>
      <c r="D127" s="59" t="str">
        <f aca="false">IF($B127="","",IFERROR(INDEX('Invoice &amp; Delivery Log'!$C$8:$C$157,MATCH($B127,'Invoice &amp; Delivery Log'!$A$8:$A$157,0)),"INVOICE NOT FOUND"))</f>
        <v/>
      </c>
      <c r="E127" s="56"/>
      <c r="F127" s="58"/>
      <c r="G127" s="44"/>
      <c r="H127" s="45"/>
      <c r="I127" s="45"/>
      <c r="J127" s="66" t="str">
        <f aca="false">IF($B127="","",IFERROR(INDEX('Invoice &amp; Delivery Log'!$H$8:$H$157,MATCH($B127,'Invoice &amp; Delivery Log'!$A$8:$A$157,0)),""))</f>
        <v/>
      </c>
      <c r="K127" s="66" t="str">
        <f aca="false">IF($B127="","",IFERROR(INDEX('Invoice &amp; Delivery Log'!$M$8:$M$157,MATCH($B127,'Invoice &amp; Delivery Log'!$A$8:$A$157,0)),""))</f>
        <v/>
      </c>
      <c r="L127" s="52" t="str">
        <f aca="false">IF(OR($E127="",$J127=""),"",$E127-$J127)</f>
        <v/>
      </c>
      <c r="M127" s="52" t="str">
        <f aca="false">IF(OR($E127="",$K127=""),"",$E127-$K127)</f>
        <v/>
      </c>
      <c r="N127" s="53" t="str">
        <f aca="false">IF(OR($E127="",$K127=""),"n/a",IF($E127&lt;=$K127,"On Time","Late"))</f>
        <v>n/a</v>
      </c>
      <c r="O127" s="50" t="str">
        <f aca="false">IF($B127="","",SUMIFS($F$8:$F127,$B$8:$B127,$B127))</f>
        <v/>
      </c>
      <c r="P127" s="50" t="str">
        <f aca="false">IF($B127="","",IFERROR(ROUND(INDEX('Invoice &amp; Delivery Log'!$N$8:$N$157,MATCH($B127,'Invoice &amp; Delivery Log'!$A$8:$A$157,0))-$O127,2),""))</f>
        <v/>
      </c>
      <c r="Q127" s="53" t="str">
        <f aca="false">IF($A127="","",IF($R127="","OK","REVIEW"))</f>
        <v/>
      </c>
      <c r="R127" s="62" t="str">
        <f aca="false">IF($A127="","",TRIM(IF($B127="","Missing invoice ID. ","")&amp;IF(AND($B127&lt;&gt;"",COUNTIFS('Invoice &amp; Delivery Log'!$A$8:$A$157,$B127)=0),"Invoice ID not found in the invoice log. ","")&amp;IF(COUNTIFS('Payments Log'!$A$8:$A$207,$A127)&gt;1,"Duplicate payment ID. ","")&amp;IF(N($F127)&lt;=0,"Payment amount must be greater than zero. ","")&amp;IF($E127="","Missing payment date. ","")&amp;IF(AND($E127&lt;&gt;"",$J127&lt;&gt;"",$E127&lt;$J127),"Payment dated before the invoice date. ","")&amp;IF(AND($E127&lt;&gt;"",$E127&gt;Settings!$C$5),"Payment date is in the future. ","")&amp;IF(ROUND(N($P127),2)&lt;0,"Payment exceeds the invoice balance. ","")&amp;IF($G127="","Missing payment method. ","")))</f>
        <v/>
      </c>
    </row>
    <row r="128" customFormat="false" ht="15" hidden="false" customHeight="true" outlineLevel="0" collapsed="false">
      <c r="A128" s="44"/>
      <c r="B128" s="44"/>
      <c r="C128" s="63" t="str">
        <f aca="false">IF($B128="","",IFERROR(INDEX('Invoice &amp; Delivery Log'!$B$8:$B$157,MATCH($B128,'Invoice &amp; Delivery Log'!$A$8:$A$157,0)),""))</f>
        <v/>
      </c>
      <c r="D128" s="55" t="str">
        <f aca="false">IF($B128="","",IFERROR(INDEX('Invoice &amp; Delivery Log'!$C$8:$C$157,MATCH($B128,'Invoice &amp; Delivery Log'!$A$8:$A$157,0)),"INVOICE NOT FOUND"))</f>
        <v/>
      </c>
      <c r="E128" s="56"/>
      <c r="F128" s="58"/>
      <c r="G128" s="44"/>
      <c r="H128" s="45"/>
      <c r="I128" s="45"/>
      <c r="J128" s="64" t="str">
        <f aca="false">IF($B128="","",IFERROR(INDEX('Invoice &amp; Delivery Log'!$H$8:$H$157,MATCH($B128,'Invoice &amp; Delivery Log'!$A$8:$A$157,0)),""))</f>
        <v/>
      </c>
      <c r="K128" s="64" t="str">
        <f aca="false">IF($B128="","",IFERROR(INDEX('Invoice &amp; Delivery Log'!$M$8:$M$157,MATCH($B128,'Invoice &amp; Delivery Log'!$A$8:$A$157,0)),""))</f>
        <v/>
      </c>
      <c r="L128" s="47" t="str">
        <f aca="false">IF(OR($E128="",$J128=""),"",$E128-$J128)</f>
        <v/>
      </c>
      <c r="M128" s="47" t="str">
        <f aca="false">IF(OR($E128="",$K128=""),"",$E128-$K128)</f>
        <v/>
      </c>
      <c r="N128" s="36" t="str">
        <f aca="false">IF(OR($E128="",$K128=""),"n/a",IF($E128&lt;=$K128,"On Time","Late"))</f>
        <v>n/a</v>
      </c>
      <c r="O128" s="30" t="str">
        <f aca="false">IF($B128="","",SUMIFS($F$8:$F128,$B$8:$B128,$B128))</f>
        <v/>
      </c>
      <c r="P128" s="30" t="str">
        <f aca="false">IF($B128="","",IFERROR(ROUND(INDEX('Invoice &amp; Delivery Log'!$N$8:$N$157,MATCH($B128,'Invoice &amp; Delivery Log'!$A$8:$A$157,0))-$O128,2),""))</f>
        <v/>
      </c>
      <c r="Q128" s="36" t="str">
        <f aca="false">IF($A128="","",IF($R128="","OK","REVIEW"))</f>
        <v/>
      </c>
      <c r="R128" s="28" t="str">
        <f aca="false">IF($A128="","",TRIM(IF($B128="","Missing invoice ID. ","")&amp;IF(AND($B128&lt;&gt;"",COUNTIFS('Invoice &amp; Delivery Log'!$A$8:$A$157,$B128)=0),"Invoice ID not found in the invoice log. ","")&amp;IF(COUNTIFS('Payments Log'!$A$8:$A$207,$A128)&gt;1,"Duplicate payment ID. ","")&amp;IF(N($F128)&lt;=0,"Payment amount must be greater than zero. ","")&amp;IF($E128="","Missing payment date. ","")&amp;IF(AND($E128&lt;&gt;"",$J128&lt;&gt;"",$E128&lt;$J128),"Payment dated before the invoice date. ","")&amp;IF(AND($E128&lt;&gt;"",$E128&gt;Settings!$C$5),"Payment date is in the future. ","")&amp;IF(ROUND(N($P128),2)&lt;0,"Payment exceeds the invoice balance. ","")&amp;IF($G128="","Missing payment method. ","")))</f>
        <v/>
      </c>
    </row>
    <row r="129" customFormat="false" ht="15" hidden="false" customHeight="true" outlineLevel="0" collapsed="false">
      <c r="A129" s="44"/>
      <c r="B129" s="44"/>
      <c r="C129" s="65" t="str">
        <f aca="false">IF($B129="","",IFERROR(INDEX('Invoice &amp; Delivery Log'!$B$8:$B$157,MATCH($B129,'Invoice &amp; Delivery Log'!$A$8:$A$157,0)),""))</f>
        <v/>
      </c>
      <c r="D129" s="59" t="str">
        <f aca="false">IF($B129="","",IFERROR(INDEX('Invoice &amp; Delivery Log'!$C$8:$C$157,MATCH($B129,'Invoice &amp; Delivery Log'!$A$8:$A$157,0)),"INVOICE NOT FOUND"))</f>
        <v/>
      </c>
      <c r="E129" s="56"/>
      <c r="F129" s="58"/>
      <c r="G129" s="44"/>
      <c r="H129" s="45"/>
      <c r="I129" s="45"/>
      <c r="J129" s="66" t="str">
        <f aca="false">IF($B129="","",IFERROR(INDEX('Invoice &amp; Delivery Log'!$H$8:$H$157,MATCH($B129,'Invoice &amp; Delivery Log'!$A$8:$A$157,0)),""))</f>
        <v/>
      </c>
      <c r="K129" s="66" t="str">
        <f aca="false">IF($B129="","",IFERROR(INDEX('Invoice &amp; Delivery Log'!$M$8:$M$157,MATCH($B129,'Invoice &amp; Delivery Log'!$A$8:$A$157,0)),""))</f>
        <v/>
      </c>
      <c r="L129" s="52" t="str">
        <f aca="false">IF(OR($E129="",$J129=""),"",$E129-$J129)</f>
        <v/>
      </c>
      <c r="M129" s="52" t="str">
        <f aca="false">IF(OR($E129="",$K129=""),"",$E129-$K129)</f>
        <v/>
      </c>
      <c r="N129" s="53" t="str">
        <f aca="false">IF(OR($E129="",$K129=""),"n/a",IF($E129&lt;=$K129,"On Time","Late"))</f>
        <v>n/a</v>
      </c>
      <c r="O129" s="50" t="str">
        <f aca="false">IF($B129="","",SUMIFS($F$8:$F129,$B$8:$B129,$B129))</f>
        <v/>
      </c>
      <c r="P129" s="50" t="str">
        <f aca="false">IF($B129="","",IFERROR(ROUND(INDEX('Invoice &amp; Delivery Log'!$N$8:$N$157,MATCH($B129,'Invoice &amp; Delivery Log'!$A$8:$A$157,0))-$O129,2),""))</f>
        <v/>
      </c>
      <c r="Q129" s="53" t="str">
        <f aca="false">IF($A129="","",IF($R129="","OK","REVIEW"))</f>
        <v/>
      </c>
      <c r="R129" s="62" t="str">
        <f aca="false">IF($A129="","",TRIM(IF($B129="","Missing invoice ID. ","")&amp;IF(AND($B129&lt;&gt;"",COUNTIFS('Invoice &amp; Delivery Log'!$A$8:$A$157,$B129)=0),"Invoice ID not found in the invoice log. ","")&amp;IF(COUNTIFS('Payments Log'!$A$8:$A$207,$A129)&gt;1,"Duplicate payment ID. ","")&amp;IF(N($F129)&lt;=0,"Payment amount must be greater than zero. ","")&amp;IF($E129="","Missing payment date. ","")&amp;IF(AND($E129&lt;&gt;"",$J129&lt;&gt;"",$E129&lt;$J129),"Payment dated before the invoice date. ","")&amp;IF(AND($E129&lt;&gt;"",$E129&gt;Settings!$C$5),"Payment date is in the future. ","")&amp;IF(ROUND(N($P129),2)&lt;0,"Payment exceeds the invoice balance. ","")&amp;IF($G129="","Missing payment method. ","")))</f>
        <v/>
      </c>
    </row>
    <row r="130" customFormat="false" ht="15" hidden="false" customHeight="true" outlineLevel="0" collapsed="false">
      <c r="A130" s="44"/>
      <c r="B130" s="44"/>
      <c r="C130" s="63" t="str">
        <f aca="false">IF($B130="","",IFERROR(INDEX('Invoice &amp; Delivery Log'!$B$8:$B$157,MATCH($B130,'Invoice &amp; Delivery Log'!$A$8:$A$157,0)),""))</f>
        <v/>
      </c>
      <c r="D130" s="55" t="str">
        <f aca="false">IF($B130="","",IFERROR(INDEX('Invoice &amp; Delivery Log'!$C$8:$C$157,MATCH($B130,'Invoice &amp; Delivery Log'!$A$8:$A$157,0)),"INVOICE NOT FOUND"))</f>
        <v/>
      </c>
      <c r="E130" s="56"/>
      <c r="F130" s="58"/>
      <c r="G130" s="44"/>
      <c r="H130" s="45"/>
      <c r="I130" s="45"/>
      <c r="J130" s="64" t="str">
        <f aca="false">IF($B130="","",IFERROR(INDEX('Invoice &amp; Delivery Log'!$H$8:$H$157,MATCH($B130,'Invoice &amp; Delivery Log'!$A$8:$A$157,0)),""))</f>
        <v/>
      </c>
      <c r="K130" s="64" t="str">
        <f aca="false">IF($B130="","",IFERROR(INDEX('Invoice &amp; Delivery Log'!$M$8:$M$157,MATCH($B130,'Invoice &amp; Delivery Log'!$A$8:$A$157,0)),""))</f>
        <v/>
      </c>
      <c r="L130" s="47" t="str">
        <f aca="false">IF(OR($E130="",$J130=""),"",$E130-$J130)</f>
        <v/>
      </c>
      <c r="M130" s="47" t="str">
        <f aca="false">IF(OR($E130="",$K130=""),"",$E130-$K130)</f>
        <v/>
      </c>
      <c r="N130" s="36" t="str">
        <f aca="false">IF(OR($E130="",$K130=""),"n/a",IF($E130&lt;=$K130,"On Time","Late"))</f>
        <v>n/a</v>
      </c>
      <c r="O130" s="30" t="str">
        <f aca="false">IF($B130="","",SUMIFS($F$8:$F130,$B$8:$B130,$B130))</f>
        <v/>
      </c>
      <c r="P130" s="30" t="str">
        <f aca="false">IF($B130="","",IFERROR(ROUND(INDEX('Invoice &amp; Delivery Log'!$N$8:$N$157,MATCH($B130,'Invoice &amp; Delivery Log'!$A$8:$A$157,0))-$O130,2),""))</f>
        <v/>
      </c>
      <c r="Q130" s="36" t="str">
        <f aca="false">IF($A130="","",IF($R130="","OK","REVIEW"))</f>
        <v/>
      </c>
      <c r="R130" s="28" t="str">
        <f aca="false">IF($A130="","",TRIM(IF($B130="","Missing invoice ID. ","")&amp;IF(AND($B130&lt;&gt;"",COUNTIFS('Invoice &amp; Delivery Log'!$A$8:$A$157,$B130)=0),"Invoice ID not found in the invoice log. ","")&amp;IF(COUNTIFS('Payments Log'!$A$8:$A$207,$A130)&gt;1,"Duplicate payment ID. ","")&amp;IF(N($F130)&lt;=0,"Payment amount must be greater than zero. ","")&amp;IF($E130="","Missing payment date. ","")&amp;IF(AND($E130&lt;&gt;"",$J130&lt;&gt;"",$E130&lt;$J130),"Payment dated before the invoice date. ","")&amp;IF(AND($E130&lt;&gt;"",$E130&gt;Settings!$C$5),"Payment date is in the future. ","")&amp;IF(ROUND(N($P130),2)&lt;0,"Payment exceeds the invoice balance. ","")&amp;IF($G130="","Missing payment method. ","")))</f>
        <v/>
      </c>
    </row>
    <row r="131" customFormat="false" ht="15" hidden="false" customHeight="true" outlineLevel="0" collapsed="false">
      <c r="A131" s="44"/>
      <c r="B131" s="44"/>
      <c r="C131" s="65" t="str">
        <f aca="false">IF($B131="","",IFERROR(INDEX('Invoice &amp; Delivery Log'!$B$8:$B$157,MATCH($B131,'Invoice &amp; Delivery Log'!$A$8:$A$157,0)),""))</f>
        <v/>
      </c>
      <c r="D131" s="59" t="str">
        <f aca="false">IF($B131="","",IFERROR(INDEX('Invoice &amp; Delivery Log'!$C$8:$C$157,MATCH($B131,'Invoice &amp; Delivery Log'!$A$8:$A$157,0)),"INVOICE NOT FOUND"))</f>
        <v/>
      </c>
      <c r="E131" s="56"/>
      <c r="F131" s="58"/>
      <c r="G131" s="44"/>
      <c r="H131" s="45"/>
      <c r="I131" s="45"/>
      <c r="J131" s="66" t="str">
        <f aca="false">IF($B131="","",IFERROR(INDEX('Invoice &amp; Delivery Log'!$H$8:$H$157,MATCH($B131,'Invoice &amp; Delivery Log'!$A$8:$A$157,0)),""))</f>
        <v/>
      </c>
      <c r="K131" s="66" t="str">
        <f aca="false">IF($B131="","",IFERROR(INDEX('Invoice &amp; Delivery Log'!$M$8:$M$157,MATCH($B131,'Invoice &amp; Delivery Log'!$A$8:$A$157,0)),""))</f>
        <v/>
      </c>
      <c r="L131" s="52" t="str">
        <f aca="false">IF(OR($E131="",$J131=""),"",$E131-$J131)</f>
        <v/>
      </c>
      <c r="M131" s="52" t="str">
        <f aca="false">IF(OR($E131="",$K131=""),"",$E131-$K131)</f>
        <v/>
      </c>
      <c r="N131" s="53" t="str">
        <f aca="false">IF(OR($E131="",$K131=""),"n/a",IF($E131&lt;=$K131,"On Time","Late"))</f>
        <v>n/a</v>
      </c>
      <c r="O131" s="50" t="str">
        <f aca="false">IF($B131="","",SUMIFS($F$8:$F131,$B$8:$B131,$B131))</f>
        <v/>
      </c>
      <c r="P131" s="50" t="str">
        <f aca="false">IF($B131="","",IFERROR(ROUND(INDEX('Invoice &amp; Delivery Log'!$N$8:$N$157,MATCH($B131,'Invoice &amp; Delivery Log'!$A$8:$A$157,0))-$O131,2),""))</f>
        <v/>
      </c>
      <c r="Q131" s="53" t="str">
        <f aca="false">IF($A131="","",IF($R131="","OK","REVIEW"))</f>
        <v/>
      </c>
      <c r="R131" s="62" t="str">
        <f aca="false">IF($A131="","",TRIM(IF($B131="","Missing invoice ID. ","")&amp;IF(AND($B131&lt;&gt;"",COUNTIFS('Invoice &amp; Delivery Log'!$A$8:$A$157,$B131)=0),"Invoice ID not found in the invoice log. ","")&amp;IF(COUNTIFS('Payments Log'!$A$8:$A$207,$A131)&gt;1,"Duplicate payment ID. ","")&amp;IF(N($F131)&lt;=0,"Payment amount must be greater than zero. ","")&amp;IF($E131="","Missing payment date. ","")&amp;IF(AND($E131&lt;&gt;"",$J131&lt;&gt;"",$E131&lt;$J131),"Payment dated before the invoice date. ","")&amp;IF(AND($E131&lt;&gt;"",$E131&gt;Settings!$C$5),"Payment date is in the future. ","")&amp;IF(ROUND(N($P131),2)&lt;0,"Payment exceeds the invoice balance. ","")&amp;IF($G131="","Missing payment method. ","")))</f>
        <v/>
      </c>
    </row>
    <row r="132" customFormat="false" ht="15" hidden="false" customHeight="true" outlineLevel="0" collapsed="false">
      <c r="A132" s="44"/>
      <c r="B132" s="44"/>
      <c r="C132" s="63" t="str">
        <f aca="false">IF($B132="","",IFERROR(INDEX('Invoice &amp; Delivery Log'!$B$8:$B$157,MATCH($B132,'Invoice &amp; Delivery Log'!$A$8:$A$157,0)),""))</f>
        <v/>
      </c>
      <c r="D132" s="55" t="str">
        <f aca="false">IF($B132="","",IFERROR(INDEX('Invoice &amp; Delivery Log'!$C$8:$C$157,MATCH($B132,'Invoice &amp; Delivery Log'!$A$8:$A$157,0)),"INVOICE NOT FOUND"))</f>
        <v/>
      </c>
      <c r="E132" s="56"/>
      <c r="F132" s="58"/>
      <c r="G132" s="44"/>
      <c r="H132" s="45"/>
      <c r="I132" s="45"/>
      <c r="J132" s="64" t="str">
        <f aca="false">IF($B132="","",IFERROR(INDEX('Invoice &amp; Delivery Log'!$H$8:$H$157,MATCH($B132,'Invoice &amp; Delivery Log'!$A$8:$A$157,0)),""))</f>
        <v/>
      </c>
      <c r="K132" s="64" t="str">
        <f aca="false">IF($B132="","",IFERROR(INDEX('Invoice &amp; Delivery Log'!$M$8:$M$157,MATCH($B132,'Invoice &amp; Delivery Log'!$A$8:$A$157,0)),""))</f>
        <v/>
      </c>
      <c r="L132" s="47" t="str">
        <f aca="false">IF(OR($E132="",$J132=""),"",$E132-$J132)</f>
        <v/>
      </c>
      <c r="M132" s="47" t="str">
        <f aca="false">IF(OR($E132="",$K132=""),"",$E132-$K132)</f>
        <v/>
      </c>
      <c r="N132" s="36" t="str">
        <f aca="false">IF(OR($E132="",$K132=""),"n/a",IF($E132&lt;=$K132,"On Time","Late"))</f>
        <v>n/a</v>
      </c>
      <c r="O132" s="30" t="str">
        <f aca="false">IF($B132="","",SUMIFS($F$8:$F132,$B$8:$B132,$B132))</f>
        <v/>
      </c>
      <c r="P132" s="30" t="str">
        <f aca="false">IF($B132="","",IFERROR(ROUND(INDEX('Invoice &amp; Delivery Log'!$N$8:$N$157,MATCH($B132,'Invoice &amp; Delivery Log'!$A$8:$A$157,0))-$O132,2),""))</f>
        <v/>
      </c>
      <c r="Q132" s="36" t="str">
        <f aca="false">IF($A132="","",IF($R132="","OK","REVIEW"))</f>
        <v/>
      </c>
      <c r="R132" s="28" t="str">
        <f aca="false">IF($A132="","",TRIM(IF($B132="","Missing invoice ID. ","")&amp;IF(AND($B132&lt;&gt;"",COUNTIFS('Invoice &amp; Delivery Log'!$A$8:$A$157,$B132)=0),"Invoice ID not found in the invoice log. ","")&amp;IF(COUNTIFS('Payments Log'!$A$8:$A$207,$A132)&gt;1,"Duplicate payment ID. ","")&amp;IF(N($F132)&lt;=0,"Payment amount must be greater than zero. ","")&amp;IF($E132="","Missing payment date. ","")&amp;IF(AND($E132&lt;&gt;"",$J132&lt;&gt;"",$E132&lt;$J132),"Payment dated before the invoice date. ","")&amp;IF(AND($E132&lt;&gt;"",$E132&gt;Settings!$C$5),"Payment date is in the future. ","")&amp;IF(ROUND(N($P132),2)&lt;0,"Payment exceeds the invoice balance. ","")&amp;IF($G132="","Missing payment method. ","")))</f>
        <v/>
      </c>
    </row>
    <row r="133" customFormat="false" ht="15" hidden="false" customHeight="true" outlineLevel="0" collapsed="false">
      <c r="A133" s="44"/>
      <c r="B133" s="44"/>
      <c r="C133" s="65" t="str">
        <f aca="false">IF($B133="","",IFERROR(INDEX('Invoice &amp; Delivery Log'!$B$8:$B$157,MATCH($B133,'Invoice &amp; Delivery Log'!$A$8:$A$157,0)),""))</f>
        <v/>
      </c>
      <c r="D133" s="59" t="str">
        <f aca="false">IF($B133="","",IFERROR(INDEX('Invoice &amp; Delivery Log'!$C$8:$C$157,MATCH($B133,'Invoice &amp; Delivery Log'!$A$8:$A$157,0)),"INVOICE NOT FOUND"))</f>
        <v/>
      </c>
      <c r="E133" s="56"/>
      <c r="F133" s="58"/>
      <c r="G133" s="44"/>
      <c r="H133" s="45"/>
      <c r="I133" s="45"/>
      <c r="J133" s="66" t="str">
        <f aca="false">IF($B133="","",IFERROR(INDEX('Invoice &amp; Delivery Log'!$H$8:$H$157,MATCH($B133,'Invoice &amp; Delivery Log'!$A$8:$A$157,0)),""))</f>
        <v/>
      </c>
      <c r="K133" s="66" t="str">
        <f aca="false">IF($B133="","",IFERROR(INDEX('Invoice &amp; Delivery Log'!$M$8:$M$157,MATCH($B133,'Invoice &amp; Delivery Log'!$A$8:$A$157,0)),""))</f>
        <v/>
      </c>
      <c r="L133" s="52" t="str">
        <f aca="false">IF(OR($E133="",$J133=""),"",$E133-$J133)</f>
        <v/>
      </c>
      <c r="M133" s="52" t="str">
        <f aca="false">IF(OR($E133="",$K133=""),"",$E133-$K133)</f>
        <v/>
      </c>
      <c r="N133" s="53" t="str">
        <f aca="false">IF(OR($E133="",$K133=""),"n/a",IF($E133&lt;=$K133,"On Time","Late"))</f>
        <v>n/a</v>
      </c>
      <c r="O133" s="50" t="str">
        <f aca="false">IF($B133="","",SUMIFS($F$8:$F133,$B$8:$B133,$B133))</f>
        <v/>
      </c>
      <c r="P133" s="50" t="str">
        <f aca="false">IF($B133="","",IFERROR(ROUND(INDEX('Invoice &amp; Delivery Log'!$N$8:$N$157,MATCH($B133,'Invoice &amp; Delivery Log'!$A$8:$A$157,0))-$O133,2),""))</f>
        <v/>
      </c>
      <c r="Q133" s="53" t="str">
        <f aca="false">IF($A133="","",IF($R133="","OK","REVIEW"))</f>
        <v/>
      </c>
      <c r="R133" s="62" t="str">
        <f aca="false">IF($A133="","",TRIM(IF($B133="","Missing invoice ID. ","")&amp;IF(AND($B133&lt;&gt;"",COUNTIFS('Invoice &amp; Delivery Log'!$A$8:$A$157,$B133)=0),"Invoice ID not found in the invoice log. ","")&amp;IF(COUNTIFS('Payments Log'!$A$8:$A$207,$A133)&gt;1,"Duplicate payment ID. ","")&amp;IF(N($F133)&lt;=0,"Payment amount must be greater than zero. ","")&amp;IF($E133="","Missing payment date. ","")&amp;IF(AND($E133&lt;&gt;"",$J133&lt;&gt;"",$E133&lt;$J133),"Payment dated before the invoice date. ","")&amp;IF(AND($E133&lt;&gt;"",$E133&gt;Settings!$C$5),"Payment date is in the future. ","")&amp;IF(ROUND(N($P133),2)&lt;0,"Payment exceeds the invoice balance. ","")&amp;IF($G133="","Missing payment method. ","")))</f>
        <v/>
      </c>
    </row>
    <row r="134" customFormat="false" ht="15" hidden="false" customHeight="true" outlineLevel="0" collapsed="false">
      <c r="A134" s="44"/>
      <c r="B134" s="44"/>
      <c r="C134" s="63" t="str">
        <f aca="false">IF($B134="","",IFERROR(INDEX('Invoice &amp; Delivery Log'!$B$8:$B$157,MATCH($B134,'Invoice &amp; Delivery Log'!$A$8:$A$157,0)),""))</f>
        <v/>
      </c>
      <c r="D134" s="55" t="str">
        <f aca="false">IF($B134="","",IFERROR(INDEX('Invoice &amp; Delivery Log'!$C$8:$C$157,MATCH($B134,'Invoice &amp; Delivery Log'!$A$8:$A$157,0)),"INVOICE NOT FOUND"))</f>
        <v/>
      </c>
      <c r="E134" s="56"/>
      <c r="F134" s="58"/>
      <c r="G134" s="44"/>
      <c r="H134" s="45"/>
      <c r="I134" s="45"/>
      <c r="J134" s="64" t="str">
        <f aca="false">IF($B134="","",IFERROR(INDEX('Invoice &amp; Delivery Log'!$H$8:$H$157,MATCH($B134,'Invoice &amp; Delivery Log'!$A$8:$A$157,0)),""))</f>
        <v/>
      </c>
      <c r="K134" s="64" t="str">
        <f aca="false">IF($B134="","",IFERROR(INDEX('Invoice &amp; Delivery Log'!$M$8:$M$157,MATCH($B134,'Invoice &amp; Delivery Log'!$A$8:$A$157,0)),""))</f>
        <v/>
      </c>
      <c r="L134" s="47" t="str">
        <f aca="false">IF(OR($E134="",$J134=""),"",$E134-$J134)</f>
        <v/>
      </c>
      <c r="M134" s="47" t="str">
        <f aca="false">IF(OR($E134="",$K134=""),"",$E134-$K134)</f>
        <v/>
      </c>
      <c r="N134" s="36" t="str">
        <f aca="false">IF(OR($E134="",$K134=""),"n/a",IF($E134&lt;=$K134,"On Time","Late"))</f>
        <v>n/a</v>
      </c>
      <c r="O134" s="30" t="str">
        <f aca="false">IF($B134="","",SUMIFS($F$8:$F134,$B$8:$B134,$B134))</f>
        <v/>
      </c>
      <c r="P134" s="30" t="str">
        <f aca="false">IF($B134="","",IFERROR(ROUND(INDEX('Invoice &amp; Delivery Log'!$N$8:$N$157,MATCH($B134,'Invoice &amp; Delivery Log'!$A$8:$A$157,0))-$O134,2),""))</f>
        <v/>
      </c>
      <c r="Q134" s="36" t="str">
        <f aca="false">IF($A134="","",IF($R134="","OK","REVIEW"))</f>
        <v/>
      </c>
      <c r="R134" s="28" t="str">
        <f aca="false">IF($A134="","",TRIM(IF($B134="","Missing invoice ID. ","")&amp;IF(AND($B134&lt;&gt;"",COUNTIFS('Invoice &amp; Delivery Log'!$A$8:$A$157,$B134)=0),"Invoice ID not found in the invoice log. ","")&amp;IF(COUNTIFS('Payments Log'!$A$8:$A$207,$A134)&gt;1,"Duplicate payment ID. ","")&amp;IF(N($F134)&lt;=0,"Payment amount must be greater than zero. ","")&amp;IF($E134="","Missing payment date. ","")&amp;IF(AND($E134&lt;&gt;"",$J134&lt;&gt;"",$E134&lt;$J134),"Payment dated before the invoice date. ","")&amp;IF(AND($E134&lt;&gt;"",$E134&gt;Settings!$C$5),"Payment date is in the future. ","")&amp;IF(ROUND(N($P134),2)&lt;0,"Payment exceeds the invoice balance. ","")&amp;IF($G134="","Missing payment method. ","")))</f>
        <v/>
      </c>
    </row>
    <row r="135" customFormat="false" ht="15" hidden="false" customHeight="true" outlineLevel="0" collapsed="false">
      <c r="A135" s="44"/>
      <c r="B135" s="44"/>
      <c r="C135" s="65" t="str">
        <f aca="false">IF($B135="","",IFERROR(INDEX('Invoice &amp; Delivery Log'!$B$8:$B$157,MATCH($B135,'Invoice &amp; Delivery Log'!$A$8:$A$157,0)),""))</f>
        <v/>
      </c>
      <c r="D135" s="59" t="str">
        <f aca="false">IF($B135="","",IFERROR(INDEX('Invoice &amp; Delivery Log'!$C$8:$C$157,MATCH($B135,'Invoice &amp; Delivery Log'!$A$8:$A$157,0)),"INVOICE NOT FOUND"))</f>
        <v/>
      </c>
      <c r="E135" s="56"/>
      <c r="F135" s="58"/>
      <c r="G135" s="44"/>
      <c r="H135" s="45"/>
      <c r="I135" s="45"/>
      <c r="J135" s="66" t="str">
        <f aca="false">IF($B135="","",IFERROR(INDEX('Invoice &amp; Delivery Log'!$H$8:$H$157,MATCH($B135,'Invoice &amp; Delivery Log'!$A$8:$A$157,0)),""))</f>
        <v/>
      </c>
      <c r="K135" s="66" t="str">
        <f aca="false">IF($B135="","",IFERROR(INDEX('Invoice &amp; Delivery Log'!$M$8:$M$157,MATCH($B135,'Invoice &amp; Delivery Log'!$A$8:$A$157,0)),""))</f>
        <v/>
      </c>
      <c r="L135" s="52" t="str">
        <f aca="false">IF(OR($E135="",$J135=""),"",$E135-$J135)</f>
        <v/>
      </c>
      <c r="M135" s="52" t="str">
        <f aca="false">IF(OR($E135="",$K135=""),"",$E135-$K135)</f>
        <v/>
      </c>
      <c r="N135" s="53" t="str">
        <f aca="false">IF(OR($E135="",$K135=""),"n/a",IF($E135&lt;=$K135,"On Time","Late"))</f>
        <v>n/a</v>
      </c>
      <c r="O135" s="50" t="str">
        <f aca="false">IF($B135="","",SUMIFS($F$8:$F135,$B$8:$B135,$B135))</f>
        <v/>
      </c>
      <c r="P135" s="50" t="str">
        <f aca="false">IF($B135="","",IFERROR(ROUND(INDEX('Invoice &amp; Delivery Log'!$N$8:$N$157,MATCH($B135,'Invoice &amp; Delivery Log'!$A$8:$A$157,0))-$O135,2),""))</f>
        <v/>
      </c>
      <c r="Q135" s="53" t="str">
        <f aca="false">IF($A135="","",IF($R135="","OK","REVIEW"))</f>
        <v/>
      </c>
      <c r="R135" s="62" t="str">
        <f aca="false">IF($A135="","",TRIM(IF($B135="","Missing invoice ID. ","")&amp;IF(AND($B135&lt;&gt;"",COUNTIFS('Invoice &amp; Delivery Log'!$A$8:$A$157,$B135)=0),"Invoice ID not found in the invoice log. ","")&amp;IF(COUNTIFS('Payments Log'!$A$8:$A$207,$A135)&gt;1,"Duplicate payment ID. ","")&amp;IF(N($F135)&lt;=0,"Payment amount must be greater than zero. ","")&amp;IF($E135="","Missing payment date. ","")&amp;IF(AND($E135&lt;&gt;"",$J135&lt;&gt;"",$E135&lt;$J135),"Payment dated before the invoice date. ","")&amp;IF(AND($E135&lt;&gt;"",$E135&gt;Settings!$C$5),"Payment date is in the future. ","")&amp;IF(ROUND(N($P135),2)&lt;0,"Payment exceeds the invoice balance. ","")&amp;IF($G135="","Missing payment method. ","")))</f>
        <v/>
      </c>
    </row>
    <row r="136" customFormat="false" ht="15" hidden="false" customHeight="true" outlineLevel="0" collapsed="false">
      <c r="A136" s="44"/>
      <c r="B136" s="44"/>
      <c r="C136" s="63" t="str">
        <f aca="false">IF($B136="","",IFERROR(INDEX('Invoice &amp; Delivery Log'!$B$8:$B$157,MATCH($B136,'Invoice &amp; Delivery Log'!$A$8:$A$157,0)),""))</f>
        <v/>
      </c>
      <c r="D136" s="55" t="str">
        <f aca="false">IF($B136="","",IFERROR(INDEX('Invoice &amp; Delivery Log'!$C$8:$C$157,MATCH($B136,'Invoice &amp; Delivery Log'!$A$8:$A$157,0)),"INVOICE NOT FOUND"))</f>
        <v/>
      </c>
      <c r="E136" s="56"/>
      <c r="F136" s="58"/>
      <c r="G136" s="44"/>
      <c r="H136" s="45"/>
      <c r="I136" s="45"/>
      <c r="J136" s="64" t="str">
        <f aca="false">IF($B136="","",IFERROR(INDEX('Invoice &amp; Delivery Log'!$H$8:$H$157,MATCH($B136,'Invoice &amp; Delivery Log'!$A$8:$A$157,0)),""))</f>
        <v/>
      </c>
      <c r="K136" s="64" t="str">
        <f aca="false">IF($B136="","",IFERROR(INDEX('Invoice &amp; Delivery Log'!$M$8:$M$157,MATCH($B136,'Invoice &amp; Delivery Log'!$A$8:$A$157,0)),""))</f>
        <v/>
      </c>
      <c r="L136" s="47" t="str">
        <f aca="false">IF(OR($E136="",$J136=""),"",$E136-$J136)</f>
        <v/>
      </c>
      <c r="M136" s="47" t="str">
        <f aca="false">IF(OR($E136="",$K136=""),"",$E136-$K136)</f>
        <v/>
      </c>
      <c r="N136" s="36" t="str">
        <f aca="false">IF(OR($E136="",$K136=""),"n/a",IF($E136&lt;=$K136,"On Time","Late"))</f>
        <v>n/a</v>
      </c>
      <c r="O136" s="30" t="str">
        <f aca="false">IF($B136="","",SUMIFS($F$8:$F136,$B$8:$B136,$B136))</f>
        <v/>
      </c>
      <c r="P136" s="30" t="str">
        <f aca="false">IF($B136="","",IFERROR(ROUND(INDEX('Invoice &amp; Delivery Log'!$N$8:$N$157,MATCH($B136,'Invoice &amp; Delivery Log'!$A$8:$A$157,0))-$O136,2),""))</f>
        <v/>
      </c>
      <c r="Q136" s="36" t="str">
        <f aca="false">IF($A136="","",IF($R136="","OK","REVIEW"))</f>
        <v/>
      </c>
      <c r="R136" s="28" t="str">
        <f aca="false">IF($A136="","",TRIM(IF($B136="","Missing invoice ID. ","")&amp;IF(AND($B136&lt;&gt;"",COUNTIFS('Invoice &amp; Delivery Log'!$A$8:$A$157,$B136)=0),"Invoice ID not found in the invoice log. ","")&amp;IF(COUNTIFS('Payments Log'!$A$8:$A$207,$A136)&gt;1,"Duplicate payment ID. ","")&amp;IF(N($F136)&lt;=0,"Payment amount must be greater than zero. ","")&amp;IF($E136="","Missing payment date. ","")&amp;IF(AND($E136&lt;&gt;"",$J136&lt;&gt;"",$E136&lt;$J136),"Payment dated before the invoice date. ","")&amp;IF(AND($E136&lt;&gt;"",$E136&gt;Settings!$C$5),"Payment date is in the future. ","")&amp;IF(ROUND(N($P136),2)&lt;0,"Payment exceeds the invoice balance. ","")&amp;IF($G136="","Missing payment method. ","")))</f>
        <v/>
      </c>
    </row>
    <row r="137" customFormat="false" ht="15" hidden="false" customHeight="true" outlineLevel="0" collapsed="false">
      <c r="A137" s="44"/>
      <c r="B137" s="44"/>
      <c r="C137" s="65" t="str">
        <f aca="false">IF($B137="","",IFERROR(INDEX('Invoice &amp; Delivery Log'!$B$8:$B$157,MATCH($B137,'Invoice &amp; Delivery Log'!$A$8:$A$157,0)),""))</f>
        <v/>
      </c>
      <c r="D137" s="59" t="str">
        <f aca="false">IF($B137="","",IFERROR(INDEX('Invoice &amp; Delivery Log'!$C$8:$C$157,MATCH($B137,'Invoice &amp; Delivery Log'!$A$8:$A$157,0)),"INVOICE NOT FOUND"))</f>
        <v/>
      </c>
      <c r="E137" s="56"/>
      <c r="F137" s="58"/>
      <c r="G137" s="44"/>
      <c r="H137" s="45"/>
      <c r="I137" s="45"/>
      <c r="J137" s="66" t="str">
        <f aca="false">IF($B137="","",IFERROR(INDEX('Invoice &amp; Delivery Log'!$H$8:$H$157,MATCH($B137,'Invoice &amp; Delivery Log'!$A$8:$A$157,0)),""))</f>
        <v/>
      </c>
      <c r="K137" s="66" t="str">
        <f aca="false">IF($B137="","",IFERROR(INDEX('Invoice &amp; Delivery Log'!$M$8:$M$157,MATCH($B137,'Invoice &amp; Delivery Log'!$A$8:$A$157,0)),""))</f>
        <v/>
      </c>
      <c r="L137" s="52" t="str">
        <f aca="false">IF(OR($E137="",$J137=""),"",$E137-$J137)</f>
        <v/>
      </c>
      <c r="M137" s="52" t="str">
        <f aca="false">IF(OR($E137="",$K137=""),"",$E137-$K137)</f>
        <v/>
      </c>
      <c r="N137" s="53" t="str">
        <f aca="false">IF(OR($E137="",$K137=""),"n/a",IF($E137&lt;=$K137,"On Time","Late"))</f>
        <v>n/a</v>
      </c>
      <c r="O137" s="50" t="str">
        <f aca="false">IF($B137="","",SUMIFS($F$8:$F137,$B$8:$B137,$B137))</f>
        <v/>
      </c>
      <c r="P137" s="50" t="str">
        <f aca="false">IF($B137="","",IFERROR(ROUND(INDEX('Invoice &amp; Delivery Log'!$N$8:$N$157,MATCH($B137,'Invoice &amp; Delivery Log'!$A$8:$A$157,0))-$O137,2),""))</f>
        <v/>
      </c>
      <c r="Q137" s="53" t="str">
        <f aca="false">IF($A137="","",IF($R137="","OK","REVIEW"))</f>
        <v/>
      </c>
      <c r="R137" s="62" t="str">
        <f aca="false">IF($A137="","",TRIM(IF($B137="","Missing invoice ID. ","")&amp;IF(AND($B137&lt;&gt;"",COUNTIFS('Invoice &amp; Delivery Log'!$A$8:$A$157,$B137)=0),"Invoice ID not found in the invoice log. ","")&amp;IF(COUNTIFS('Payments Log'!$A$8:$A$207,$A137)&gt;1,"Duplicate payment ID. ","")&amp;IF(N($F137)&lt;=0,"Payment amount must be greater than zero. ","")&amp;IF($E137="","Missing payment date. ","")&amp;IF(AND($E137&lt;&gt;"",$J137&lt;&gt;"",$E137&lt;$J137),"Payment dated before the invoice date. ","")&amp;IF(AND($E137&lt;&gt;"",$E137&gt;Settings!$C$5),"Payment date is in the future. ","")&amp;IF(ROUND(N($P137),2)&lt;0,"Payment exceeds the invoice balance. ","")&amp;IF($G137="","Missing payment method. ","")))</f>
        <v/>
      </c>
    </row>
    <row r="138" customFormat="false" ht="15" hidden="false" customHeight="true" outlineLevel="0" collapsed="false">
      <c r="A138" s="44"/>
      <c r="B138" s="44"/>
      <c r="C138" s="63" t="str">
        <f aca="false">IF($B138="","",IFERROR(INDEX('Invoice &amp; Delivery Log'!$B$8:$B$157,MATCH($B138,'Invoice &amp; Delivery Log'!$A$8:$A$157,0)),""))</f>
        <v/>
      </c>
      <c r="D138" s="55" t="str">
        <f aca="false">IF($B138="","",IFERROR(INDEX('Invoice &amp; Delivery Log'!$C$8:$C$157,MATCH($B138,'Invoice &amp; Delivery Log'!$A$8:$A$157,0)),"INVOICE NOT FOUND"))</f>
        <v/>
      </c>
      <c r="E138" s="56"/>
      <c r="F138" s="58"/>
      <c r="G138" s="44"/>
      <c r="H138" s="45"/>
      <c r="I138" s="45"/>
      <c r="J138" s="64" t="str">
        <f aca="false">IF($B138="","",IFERROR(INDEX('Invoice &amp; Delivery Log'!$H$8:$H$157,MATCH($B138,'Invoice &amp; Delivery Log'!$A$8:$A$157,0)),""))</f>
        <v/>
      </c>
      <c r="K138" s="64" t="str">
        <f aca="false">IF($B138="","",IFERROR(INDEX('Invoice &amp; Delivery Log'!$M$8:$M$157,MATCH($B138,'Invoice &amp; Delivery Log'!$A$8:$A$157,0)),""))</f>
        <v/>
      </c>
      <c r="L138" s="47" t="str">
        <f aca="false">IF(OR($E138="",$J138=""),"",$E138-$J138)</f>
        <v/>
      </c>
      <c r="M138" s="47" t="str">
        <f aca="false">IF(OR($E138="",$K138=""),"",$E138-$K138)</f>
        <v/>
      </c>
      <c r="N138" s="36" t="str">
        <f aca="false">IF(OR($E138="",$K138=""),"n/a",IF($E138&lt;=$K138,"On Time","Late"))</f>
        <v>n/a</v>
      </c>
      <c r="O138" s="30" t="str">
        <f aca="false">IF($B138="","",SUMIFS($F$8:$F138,$B$8:$B138,$B138))</f>
        <v/>
      </c>
      <c r="P138" s="30" t="str">
        <f aca="false">IF($B138="","",IFERROR(ROUND(INDEX('Invoice &amp; Delivery Log'!$N$8:$N$157,MATCH($B138,'Invoice &amp; Delivery Log'!$A$8:$A$157,0))-$O138,2),""))</f>
        <v/>
      </c>
      <c r="Q138" s="36" t="str">
        <f aca="false">IF($A138="","",IF($R138="","OK","REVIEW"))</f>
        <v/>
      </c>
      <c r="R138" s="28" t="str">
        <f aca="false">IF($A138="","",TRIM(IF($B138="","Missing invoice ID. ","")&amp;IF(AND($B138&lt;&gt;"",COUNTIFS('Invoice &amp; Delivery Log'!$A$8:$A$157,$B138)=0),"Invoice ID not found in the invoice log. ","")&amp;IF(COUNTIFS('Payments Log'!$A$8:$A$207,$A138)&gt;1,"Duplicate payment ID. ","")&amp;IF(N($F138)&lt;=0,"Payment amount must be greater than zero. ","")&amp;IF($E138="","Missing payment date. ","")&amp;IF(AND($E138&lt;&gt;"",$J138&lt;&gt;"",$E138&lt;$J138),"Payment dated before the invoice date. ","")&amp;IF(AND($E138&lt;&gt;"",$E138&gt;Settings!$C$5),"Payment date is in the future. ","")&amp;IF(ROUND(N($P138),2)&lt;0,"Payment exceeds the invoice balance. ","")&amp;IF($G138="","Missing payment method. ","")))</f>
        <v/>
      </c>
    </row>
    <row r="139" customFormat="false" ht="15" hidden="false" customHeight="true" outlineLevel="0" collapsed="false">
      <c r="A139" s="44"/>
      <c r="B139" s="44"/>
      <c r="C139" s="65" t="str">
        <f aca="false">IF($B139="","",IFERROR(INDEX('Invoice &amp; Delivery Log'!$B$8:$B$157,MATCH($B139,'Invoice &amp; Delivery Log'!$A$8:$A$157,0)),""))</f>
        <v/>
      </c>
      <c r="D139" s="59" t="str">
        <f aca="false">IF($B139="","",IFERROR(INDEX('Invoice &amp; Delivery Log'!$C$8:$C$157,MATCH($B139,'Invoice &amp; Delivery Log'!$A$8:$A$157,0)),"INVOICE NOT FOUND"))</f>
        <v/>
      </c>
      <c r="E139" s="56"/>
      <c r="F139" s="58"/>
      <c r="G139" s="44"/>
      <c r="H139" s="45"/>
      <c r="I139" s="45"/>
      <c r="J139" s="66" t="str">
        <f aca="false">IF($B139="","",IFERROR(INDEX('Invoice &amp; Delivery Log'!$H$8:$H$157,MATCH($B139,'Invoice &amp; Delivery Log'!$A$8:$A$157,0)),""))</f>
        <v/>
      </c>
      <c r="K139" s="66" t="str">
        <f aca="false">IF($B139="","",IFERROR(INDEX('Invoice &amp; Delivery Log'!$M$8:$M$157,MATCH($B139,'Invoice &amp; Delivery Log'!$A$8:$A$157,0)),""))</f>
        <v/>
      </c>
      <c r="L139" s="52" t="str">
        <f aca="false">IF(OR($E139="",$J139=""),"",$E139-$J139)</f>
        <v/>
      </c>
      <c r="M139" s="52" t="str">
        <f aca="false">IF(OR($E139="",$K139=""),"",$E139-$K139)</f>
        <v/>
      </c>
      <c r="N139" s="53" t="str">
        <f aca="false">IF(OR($E139="",$K139=""),"n/a",IF($E139&lt;=$K139,"On Time","Late"))</f>
        <v>n/a</v>
      </c>
      <c r="O139" s="50" t="str">
        <f aca="false">IF($B139="","",SUMIFS($F$8:$F139,$B$8:$B139,$B139))</f>
        <v/>
      </c>
      <c r="P139" s="50" t="str">
        <f aca="false">IF($B139="","",IFERROR(ROUND(INDEX('Invoice &amp; Delivery Log'!$N$8:$N$157,MATCH($B139,'Invoice &amp; Delivery Log'!$A$8:$A$157,0))-$O139,2),""))</f>
        <v/>
      </c>
      <c r="Q139" s="53" t="str">
        <f aca="false">IF($A139="","",IF($R139="","OK","REVIEW"))</f>
        <v/>
      </c>
      <c r="R139" s="62" t="str">
        <f aca="false">IF($A139="","",TRIM(IF($B139="","Missing invoice ID. ","")&amp;IF(AND($B139&lt;&gt;"",COUNTIFS('Invoice &amp; Delivery Log'!$A$8:$A$157,$B139)=0),"Invoice ID not found in the invoice log. ","")&amp;IF(COUNTIFS('Payments Log'!$A$8:$A$207,$A139)&gt;1,"Duplicate payment ID. ","")&amp;IF(N($F139)&lt;=0,"Payment amount must be greater than zero. ","")&amp;IF($E139="","Missing payment date. ","")&amp;IF(AND($E139&lt;&gt;"",$J139&lt;&gt;"",$E139&lt;$J139),"Payment dated before the invoice date. ","")&amp;IF(AND($E139&lt;&gt;"",$E139&gt;Settings!$C$5),"Payment date is in the future. ","")&amp;IF(ROUND(N($P139),2)&lt;0,"Payment exceeds the invoice balance. ","")&amp;IF($G139="","Missing payment method. ","")))</f>
        <v/>
      </c>
    </row>
    <row r="140" customFormat="false" ht="15" hidden="false" customHeight="true" outlineLevel="0" collapsed="false">
      <c r="A140" s="44"/>
      <c r="B140" s="44"/>
      <c r="C140" s="63" t="str">
        <f aca="false">IF($B140="","",IFERROR(INDEX('Invoice &amp; Delivery Log'!$B$8:$B$157,MATCH($B140,'Invoice &amp; Delivery Log'!$A$8:$A$157,0)),""))</f>
        <v/>
      </c>
      <c r="D140" s="55" t="str">
        <f aca="false">IF($B140="","",IFERROR(INDEX('Invoice &amp; Delivery Log'!$C$8:$C$157,MATCH($B140,'Invoice &amp; Delivery Log'!$A$8:$A$157,0)),"INVOICE NOT FOUND"))</f>
        <v/>
      </c>
      <c r="E140" s="56"/>
      <c r="F140" s="58"/>
      <c r="G140" s="44"/>
      <c r="H140" s="45"/>
      <c r="I140" s="45"/>
      <c r="J140" s="64" t="str">
        <f aca="false">IF($B140="","",IFERROR(INDEX('Invoice &amp; Delivery Log'!$H$8:$H$157,MATCH($B140,'Invoice &amp; Delivery Log'!$A$8:$A$157,0)),""))</f>
        <v/>
      </c>
      <c r="K140" s="64" t="str">
        <f aca="false">IF($B140="","",IFERROR(INDEX('Invoice &amp; Delivery Log'!$M$8:$M$157,MATCH($B140,'Invoice &amp; Delivery Log'!$A$8:$A$157,0)),""))</f>
        <v/>
      </c>
      <c r="L140" s="47" t="str">
        <f aca="false">IF(OR($E140="",$J140=""),"",$E140-$J140)</f>
        <v/>
      </c>
      <c r="M140" s="47" t="str">
        <f aca="false">IF(OR($E140="",$K140=""),"",$E140-$K140)</f>
        <v/>
      </c>
      <c r="N140" s="36" t="str">
        <f aca="false">IF(OR($E140="",$K140=""),"n/a",IF($E140&lt;=$K140,"On Time","Late"))</f>
        <v>n/a</v>
      </c>
      <c r="O140" s="30" t="str">
        <f aca="false">IF($B140="","",SUMIFS($F$8:$F140,$B$8:$B140,$B140))</f>
        <v/>
      </c>
      <c r="P140" s="30" t="str">
        <f aca="false">IF($B140="","",IFERROR(ROUND(INDEX('Invoice &amp; Delivery Log'!$N$8:$N$157,MATCH($B140,'Invoice &amp; Delivery Log'!$A$8:$A$157,0))-$O140,2),""))</f>
        <v/>
      </c>
      <c r="Q140" s="36" t="str">
        <f aca="false">IF($A140="","",IF($R140="","OK","REVIEW"))</f>
        <v/>
      </c>
      <c r="R140" s="28" t="str">
        <f aca="false">IF($A140="","",TRIM(IF($B140="","Missing invoice ID. ","")&amp;IF(AND($B140&lt;&gt;"",COUNTIFS('Invoice &amp; Delivery Log'!$A$8:$A$157,$B140)=0),"Invoice ID not found in the invoice log. ","")&amp;IF(COUNTIFS('Payments Log'!$A$8:$A$207,$A140)&gt;1,"Duplicate payment ID. ","")&amp;IF(N($F140)&lt;=0,"Payment amount must be greater than zero. ","")&amp;IF($E140="","Missing payment date. ","")&amp;IF(AND($E140&lt;&gt;"",$J140&lt;&gt;"",$E140&lt;$J140),"Payment dated before the invoice date. ","")&amp;IF(AND($E140&lt;&gt;"",$E140&gt;Settings!$C$5),"Payment date is in the future. ","")&amp;IF(ROUND(N($P140),2)&lt;0,"Payment exceeds the invoice balance. ","")&amp;IF($G140="","Missing payment method. ","")))</f>
        <v/>
      </c>
    </row>
    <row r="141" customFormat="false" ht="15" hidden="false" customHeight="true" outlineLevel="0" collapsed="false">
      <c r="A141" s="44"/>
      <c r="B141" s="44"/>
      <c r="C141" s="65" t="str">
        <f aca="false">IF($B141="","",IFERROR(INDEX('Invoice &amp; Delivery Log'!$B$8:$B$157,MATCH($B141,'Invoice &amp; Delivery Log'!$A$8:$A$157,0)),""))</f>
        <v/>
      </c>
      <c r="D141" s="59" t="str">
        <f aca="false">IF($B141="","",IFERROR(INDEX('Invoice &amp; Delivery Log'!$C$8:$C$157,MATCH($B141,'Invoice &amp; Delivery Log'!$A$8:$A$157,0)),"INVOICE NOT FOUND"))</f>
        <v/>
      </c>
      <c r="E141" s="56"/>
      <c r="F141" s="58"/>
      <c r="G141" s="44"/>
      <c r="H141" s="45"/>
      <c r="I141" s="45"/>
      <c r="J141" s="66" t="str">
        <f aca="false">IF($B141="","",IFERROR(INDEX('Invoice &amp; Delivery Log'!$H$8:$H$157,MATCH($B141,'Invoice &amp; Delivery Log'!$A$8:$A$157,0)),""))</f>
        <v/>
      </c>
      <c r="K141" s="66" t="str">
        <f aca="false">IF($B141="","",IFERROR(INDEX('Invoice &amp; Delivery Log'!$M$8:$M$157,MATCH($B141,'Invoice &amp; Delivery Log'!$A$8:$A$157,0)),""))</f>
        <v/>
      </c>
      <c r="L141" s="52" t="str">
        <f aca="false">IF(OR($E141="",$J141=""),"",$E141-$J141)</f>
        <v/>
      </c>
      <c r="M141" s="52" t="str">
        <f aca="false">IF(OR($E141="",$K141=""),"",$E141-$K141)</f>
        <v/>
      </c>
      <c r="N141" s="53" t="str">
        <f aca="false">IF(OR($E141="",$K141=""),"n/a",IF($E141&lt;=$K141,"On Time","Late"))</f>
        <v>n/a</v>
      </c>
      <c r="O141" s="50" t="str">
        <f aca="false">IF($B141="","",SUMIFS($F$8:$F141,$B$8:$B141,$B141))</f>
        <v/>
      </c>
      <c r="P141" s="50" t="str">
        <f aca="false">IF($B141="","",IFERROR(ROUND(INDEX('Invoice &amp; Delivery Log'!$N$8:$N$157,MATCH($B141,'Invoice &amp; Delivery Log'!$A$8:$A$157,0))-$O141,2),""))</f>
        <v/>
      </c>
      <c r="Q141" s="53" t="str">
        <f aca="false">IF($A141="","",IF($R141="","OK","REVIEW"))</f>
        <v/>
      </c>
      <c r="R141" s="62" t="str">
        <f aca="false">IF($A141="","",TRIM(IF($B141="","Missing invoice ID. ","")&amp;IF(AND($B141&lt;&gt;"",COUNTIFS('Invoice &amp; Delivery Log'!$A$8:$A$157,$B141)=0),"Invoice ID not found in the invoice log. ","")&amp;IF(COUNTIFS('Payments Log'!$A$8:$A$207,$A141)&gt;1,"Duplicate payment ID. ","")&amp;IF(N($F141)&lt;=0,"Payment amount must be greater than zero. ","")&amp;IF($E141="","Missing payment date. ","")&amp;IF(AND($E141&lt;&gt;"",$J141&lt;&gt;"",$E141&lt;$J141),"Payment dated before the invoice date. ","")&amp;IF(AND($E141&lt;&gt;"",$E141&gt;Settings!$C$5),"Payment date is in the future. ","")&amp;IF(ROUND(N($P141),2)&lt;0,"Payment exceeds the invoice balance. ","")&amp;IF($G141="","Missing payment method. ","")))</f>
        <v/>
      </c>
    </row>
    <row r="142" customFormat="false" ht="15" hidden="false" customHeight="true" outlineLevel="0" collapsed="false">
      <c r="A142" s="44"/>
      <c r="B142" s="44"/>
      <c r="C142" s="63" t="str">
        <f aca="false">IF($B142="","",IFERROR(INDEX('Invoice &amp; Delivery Log'!$B$8:$B$157,MATCH($B142,'Invoice &amp; Delivery Log'!$A$8:$A$157,0)),""))</f>
        <v/>
      </c>
      <c r="D142" s="55" t="str">
        <f aca="false">IF($B142="","",IFERROR(INDEX('Invoice &amp; Delivery Log'!$C$8:$C$157,MATCH($B142,'Invoice &amp; Delivery Log'!$A$8:$A$157,0)),"INVOICE NOT FOUND"))</f>
        <v/>
      </c>
      <c r="E142" s="56"/>
      <c r="F142" s="58"/>
      <c r="G142" s="44"/>
      <c r="H142" s="45"/>
      <c r="I142" s="45"/>
      <c r="J142" s="64" t="str">
        <f aca="false">IF($B142="","",IFERROR(INDEX('Invoice &amp; Delivery Log'!$H$8:$H$157,MATCH($B142,'Invoice &amp; Delivery Log'!$A$8:$A$157,0)),""))</f>
        <v/>
      </c>
      <c r="K142" s="64" t="str">
        <f aca="false">IF($B142="","",IFERROR(INDEX('Invoice &amp; Delivery Log'!$M$8:$M$157,MATCH($B142,'Invoice &amp; Delivery Log'!$A$8:$A$157,0)),""))</f>
        <v/>
      </c>
      <c r="L142" s="47" t="str">
        <f aca="false">IF(OR($E142="",$J142=""),"",$E142-$J142)</f>
        <v/>
      </c>
      <c r="M142" s="47" t="str">
        <f aca="false">IF(OR($E142="",$K142=""),"",$E142-$K142)</f>
        <v/>
      </c>
      <c r="N142" s="36" t="str">
        <f aca="false">IF(OR($E142="",$K142=""),"n/a",IF($E142&lt;=$K142,"On Time","Late"))</f>
        <v>n/a</v>
      </c>
      <c r="O142" s="30" t="str">
        <f aca="false">IF($B142="","",SUMIFS($F$8:$F142,$B$8:$B142,$B142))</f>
        <v/>
      </c>
      <c r="P142" s="30" t="str">
        <f aca="false">IF($B142="","",IFERROR(ROUND(INDEX('Invoice &amp; Delivery Log'!$N$8:$N$157,MATCH($B142,'Invoice &amp; Delivery Log'!$A$8:$A$157,0))-$O142,2),""))</f>
        <v/>
      </c>
      <c r="Q142" s="36" t="str">
        <f aca="false">IF($A142="","",IF($R142="","OK","REVIEW"))</f>
        <v/>
      </c>
      <c r="R142" s="28" t="str">
        <f aca="false">IF($A142="","",TRIM(IF($B142="","Missing invoice ID. ","")&amp;IF(AND($B142&lt;&gt;"",COUNTIFS('Invoice &amp; Delivery Log'!$A$8:$A$157,$B142)=0),"Invoice ID not found in the invoice log. ","")&amp;IF(COUNTIFS('Payments Log'!$A$8:$A$207,$A142)&gt;1,"Duplicate payment ID. ","")&amp;IF(N($F142)&lt;=0,"Payment amount must be greater than zero. ","")&amp;IF($E142="","Missing payment date. ","")&amp;IF(AND($E142&lt;&gt;"",$J142&lt;&gt;"",$E142&lt;$J142),"Payment dated before the invoice date. ","")&amp;IF(AND($E142&lt;&gt;"",$E142&gt;Settings!$C$5),"Payment date is in the future. ","")&amp;IF(ROUND(N($P142),2)&lt;0,"Payment exceeds the invoice balance. ","")&amp;IF($G142="","Missing payment method. ","")))</f>
        <v/>
      </c>
    </row>
    <row r="143" customFormat="false" ht="15" hidden="false" customHeight="true" outlineLevel="0" collapsed="false">
      <c r="A143" s="44"/>
      <c r="B143" s="44"/>
      <c r="C143" s="65" t="str">
        <f aca="false">IF($B143="","",IFERROR(INDEX('Invoice &amp; Delivery Log'!$B$8:$B$157,MATCH($B143,'Invoice &amp; Delivery Log'!$A$8:$A$157,0)),""))</f>
        <v/>
      </c>
      <c r="D143" s="59" t="str">
        <f aca="false">IF($B143="","",IFERROR(INDEX('Invoice &amp; Delivery Log'!$C$8:$C$157,MATCH($B143,'Invoice &amp; Delivery Log'!$A$8:$A$157,0)),"INVOICE NOT FOUND"))</f>
        <v/>
      </c>
      <c r="E143" s="56"/>
      <c r="F143" s="58"/>
      <c r="G143" s="44"/>
      <c r="H143" s="45"/>
      <c r="I143" s="45"/>
      <c r="J143" s="66" t="str">
        <f aca="false">IF($B143="","",IFERROR(INDEX('Invoice &amp; Delivery Log'!$H$8:$H$157,MATCH($B143,'Invoice &amp; Delivery Log'!$A$8:$A$157,0)),""))</f>
        <v/>
      </c>
      <c r="K143" s="66" t="str">
        <f aca="false">IF($B143="","",IFERROR(INDEX('Invoice &amp; Delivery Log'!$M$8:$M$157,MATCH($B143,'Invoice &amp; Delivery Log'!$A$8:$A$157,0)),""))</f>
        <v/>
      </c>
      <c r="L143" s="52" t="str">
        <f aca="false">IF(OR($E143="",$J143=""),"",$E143-$J143)</f>
        <v/>
      </c>
      <c r="M143" s="52" t="str">
        <f aca="false">IF(OR($E143="",$K143=""),"",$E143-$K143)</f>
        <v/>
      </c>
      <c r="N143" s="53" t="str">
        <f aca="false">IF(OR($E143="",$K143=""),"n/a",IF($E143&lt;=$K143,"On Time","Late"))</f>
        <v>n/a</v>
      </c>
      <c r="O143" s="50" t="str">
        <f aca="false">IF($B143="","",SUMIFS($F$8:$F143,$B$8:$B143,$B143))</f>
        <v/>
      </c>
      <c r="P143" s="50" t="str">
        <f aca="false">IF($B143="","",IFERROR(ROUND(INDEX('Invoice &amp; Delivery Log'!$N$8:$N$157,MATCH($B143,'Invoice &amp; Delivery Log'!$A$8:$A$157,0))-$O143,2),""))</f>
        <v/>
      </c>
      <c r="Q143" s="53" t="str">
        <f aca="false">IF($A143="","",IF($R143="","OK","REVIEW"))</f>
        <v/>
      </c>
      <c r="R143" s="62" t="str">
        <f aca="false">IF($A143="","",TRIM(IF($B143="","Missing invoice ID. ","")&amp;IF(AND($B143&lt;&gt;"",COUNTIFS('Invoice &amp; Delivery Log'!$A$8:$A$157,$B143)=0),"Invoice ID not found in the invoice log. ","")&amp;IF(COUNTIFS('Payments Log'!$A$8:$A$207,$A143)&gt;1,"Duplicate payment ID. ","")&amp;IF(N($F143)&lt;=0,"Payment amount must be greater than zero. ","")&amp;IF($E143="","Missing payment date. ","")&amp;IF(AND($E143&lt;&gt;"",$J143&lt;&gt;"",$E143&lt;$J143),"Payment dated before the invoice date. ","")&amp;IF(AND($E143&lt;&gt;"",$E143&gt;Settings!$C$5),"Payment date is in the future. ","")&amp;IF(ROUND(N($P143),2)&lt;0,"Payment exceeds the invoice balance. ","")&amp;IF($G143="","Missing payment method. ","")))</f>
        <v/>
      </c>
    </row>
    <row r="144" customFormat="false" ht="15" hidden="false" customHeight="true" outlineLevel="0" collapsed="false">
      <c r="A144" s="44"/>
      <c r="B144" s="44"/>
      <c r="C144" s="63" t="str">
        <f aca="false">IF($B144="","",IFERROR(INDEX('Invoice &amp; Delivery Log'!$B$8:$B$157,MATCH($B144,'Invoice &amp; Delivery Log'!$A$8:$A$157,0)),""))</f>
        <v/>
      </c>
      <c r="D144" s="55" t="str">
        <f aca="false">IF($B144="","",IFERROR(INDEX('Invoice &amp; Delivery Log'!$C$8:$C$157,MATCH($B144,'Invoice &amp; Delivery Log'!$A$8:$A$157,0)),"INVOICE NOT FOUND"))</f>
        <v/>
      </c>
      <c r="E144" s="56"/>
      <c r="F144" s="58"/>
      <c r="G144" s="44"/>
      <c r="H144" s="45"/>
      <c r="I144" s="45"/>
      <c r="J144" s="64" t="str">
        <f aca="false">IF($B144="","",IFERROR(INDEX('Invoice &amp; Delivery Log'!$H$8:$H$157,MATCH($B144,'Invoice &amp; Delivery Log'!$A$8:$A$157,0)),""))</f>
        <v/>
      </c>
      <c r="K144" s="64" t="str">
        <f aca="false">IF($B144="","",IFERROR(INDEX('Invoice &amp; Delivery Log'!$M$8:$M$157,MATCH($B144,'Invoice &amp; Delivery Log'!$A$8:$A$157,0)),""))</f>
        <v/>
      </c>
      <c r="L144" s="47" t="str">
        <f aca="false">IF(OR($E144="",$J144=""),"",$E144-$J144)</f>
        <v/>
      </c>
      <c r="M144" s="47" t="str">
        <f aca="false">IF(OR($E144="",$K144=""),"",$E144-$K144)</f>
        <v/>
      </c>
      <c r="N144" s="36" t="str">
        <f aca="false">IF(OR($E144="",$K144=""),"n/a",IF($E144&lt;=$K144,"On Time","Late"))</f>
        <v>n/a</v>
      </c>
      <c r="O144" s="30" t="str">
        <f aca="false">IF($B144="","",SUMIFS($F$8:$F144,$B$8:$B144,$B144))</f>
        <v/>
      </c>
      <c r="P144" s="30" t="str">
        <f aca="false">IF($B144="","",IFERROR(ROUND(INDEX('Invoice &amp; Delivery Log'!$N$8:$N$157,MATCH($B144,'Invoice &amp; Delivery Log'!$A$8:$A$157,0))-$O144,2),""))</f>
        <v/>
      </c>
      <c r="Q144" s="36" t="str">
        <f aca="false">IF($A144="","",IF($R144="","OK","REVIEW"))</f>
        <v/>
      </c>
      <c r="R144" s="28" t="str">
        <f aca="false">IF($A144="","",TRIM(IF($B144="","Missing invoice ID. ","")&amp;IF(AND($B144&lt;&gt;"",COUNTIFS('Invoice &amp; Delivery Log'!$A$8:$A$157,$B144)=0),"Invoice ID not found in the invoice log. ","")&amp;IF(COUNTIFS('Payments Log'!$A$8:$A$207,$A144)&gt;1,"Duplicate payment ID. ","")&amp;IF(N($F144)&lt;=0,"Payment amount must be greater than zero. ","")&amp;IF($E144="","Missing payment date. ","")&amp;IF(AND($E144&lt;&gt;"",$J144&lt;&gt;"",$E144&lt;$J144),"Payment dated before the invoice date. ","")&amp;IF(AND($E144&lt;&gt;"",$E144&gt;Settings!$C$5),"Payment date is in the future. ","")&amp;IF(ROUND(N($P144),2)&lt;0,"Payment exceeds the invoice balance. ","")&amp;IF($G144="","Missing payment method. ","")))</f>
        <v/>
      </c>
    </row>
    <row r="145" customFormat="false" ht="15" hidden="false" customHeight="true" outlineLevel="0" collapsed="false">
      <c r="A145" s="44"/>
      <c r="B145" s="44"/>
      <c r="C145" s="65" t="str">
        <f aca="false">IF($B145="","",IFERROR(INDEX('Invoice &amp; Delivery Log'!$B$8:$B$157,MATCH($B145,'Invoice &amp; Delivery Log'!$A$8:$A$157,0)),""))</f>
        <v/>
      </c>
      <c r="D145" s="59" t="str">
        <f aca="false">IF($B145="","",IFERROR(INDEX('Invoice &amp; Delivery Log'!$C$8:$C$157,MATCH($B145,'Invoice &amp; Delivery Log'!$A$8:$A$157,0)),"INVOICE NOT FOUND"))</f>
        <v/>
      </c>
      <c r="E145" s="56"/>
      <c r="F145" s="58"/>
      <c r="G145" s="44"/>
      <c r="H145" s="45"/>
      <c r="I145" s="45"/>
      <c r="J145" s="66" t="str">
        <f aca="false">IF($B145="","",IFERROR(INDEX('Invoice &amp; Delivery Log'!$H$8:$H$157,MATCH($B145,'Invoice &amp; Delivery Log'!$A$8:$A$157,0)),""))</f>
        <v/>
      </c>
      <c r="K145" s="66" t="str">
        <f aca="false">IF($B145="","",IFERROR(INDEX('Invoice &amp; Delivery Log'!$M$8:$M$157,MATCH($B145,'Invoice &amp; Delivery Log'!$A$8:$A$157,0)),""))</f>
        <v/>
      </c>
      <c r="L145" s="52" t="str">
        <f aca="false">IF(OR($E145="",$J145=""),"",$E145-$J145)</f>
        <v/>
      </c>
      <c r="M145" s="52" t="str">
        <f aca="false">IF(OR($E145="",$K145=""),"",$E145-$K145)</f>
        <v/>
      </c>
      <c r="N145" s="53" t="str">
        <f aca="false">IF(OR($E145="",$K145=""),"n/a",IF($E145&lt;=$K145,"On Time","Late"))</f>
        <v>n/a</v>
      </c>
      <c r="O145" s="50" t="str">
        <f aca="false">IF($B145="","",SUMIFS($F$8:$F145,$B$8:$B145,$B145))</f>
        <v/>
      </c>
      <c r="P145" s="50" t="str">
        <f aca="false">IF($B145="","",IFERROR(ROUND(INDEX('Invoice &amp; Delivery Log'!$N$8:$N$157,MATCH($B145,'Invoice &amp; Delivery Log'!$A$8:$A$157,0))-$O145,2),""))</f>
        <v/>
      </c>
      <c r="Q145" s="53" t="str">
        <f aca="false">IF($A145="","",IF($R145="","OK","REVIEW"))</f>
        <v/>
      </c>
      <c r="R145" s="62" t="str">
        <f aca="false">IF($A145="","",TRIM(IF($B145="","Missing invoice ID. ","")&amp;IF(AND($B145&lt;&gt;"",COUNTIFS('Invoice &amp; Delivery Log'!$A$8:$A$157,$B145)=0),"Invoice ID not found in the invoice log. ","")&amp;IF(COUNTIFS('Payments Log'!$A$8:$A$207,$A145)&gt;1,"Duplicate payment ID. ","")&amp;IF(N($F145)&lt;=0,"Payment amount must be greater than zero. ","")&amp;IF($E145="","Missing payment date. ","")&amp;IF(AND($E145&lt;&gt;"",$J145&lt;&gt;"",$E145&lt;$J145),"Payment dated before the invoice date. ","")&amp;IF(AND($E145&lt;&gt;"",$E145&gt;Settings!$C$5),"Payment date is in the future. ","")&amp;IF(ROUND(N($P145),2)&lt;0,"Payment exceeds the invoice balance. ","")&amp;IF($G145="","Missing payment method. ","")))</f>
        <v/>
      </c>
    </row>
    <row r="146" customFormat="false" ht="15" hidden="false" customHeight="true" outlineLevel="0" collapsed="false">
      <c r="A146" s="44"/>
      <c r="B146" s="44"/>
      <c r="C146" s="63" t="str">
        <f aca="false">IF($B146="","",IFERROR(INDEX('Invoice &amp; Delivery Log'!$B$8:$B$157,MATCH($B146,'Invoice &amp; Delivery Log'!$A$8:$A$157,0)),""))</f>
        <v/>
      </c>
      <c r="D146" s="55" t="str">
        <f aca="false">IF($B146="","",IFERROR(INDEX('Invoice &amp; Delivery Log'!$C$8:$C$157,MATCH($B146,'Invoice &amp; Delivery Log'!$A$8:$A$157,0)),"INVOICE NOT FOUND"))</f>
        <v/>
      </c>
      <c r="E146" s="56"/>
      <c r="F146" s="58"/>
      <c r="G146" s="44"/>
      <c r="H146" s="45"/>
      <c r="I146" s="45"/>
      <c r="J146" s="64" t="str">
        <f aca="false">IF($B146="","",IFERROR(INDEX('Invoice &amp; Delivery Log'!$H$8:$H$157,MATCH($B146,'Invoice &amp; Delivery Log'!$A$8:$A$157,0)),""))</f>
        <v/>
      </c>
      <c r="K146" s="64" t="str">
        <f aca="false">IF($B146="","",IFERROR(INDEX('Invoice &amp; Delivery Log'!$M$8:$M$157,MATCH($B146,'Invoice &amp; Delivery Log'!$A$8:$A$157,0)),""))</f>
        <v/>
      </c>
      <c r="L146" s="47" t="str">
        <f aca="false">IF(OR($E146="",$J146=""),"",$E146-$J146)</f>
        <v/>
      </c>
      <c r="M146" s="47" t="str">
        <f aca="false">IF(OR($E146="",$K146=""),"",$E146-$K146)</f>
        <v/>
      </c>
      <c r="N146" s="36" t="str">
        <f aca="false">IF(OR($E146="",$K146=""),"n/a",IF($E146&lt;=$K146,"On Time","Late"))</f>
        <v>n/a</v>
      </c>
      <c r="O146" s="30" t="str">
        <f aca="false">IF($B146="","",SUMIFS($F$8:$F146,$B$8:$B146,$B146))</f>
        <v/>
      </c>
      <c r="P146" s="30" t="str">
        <f aca="false">IF($B146="","",IFERROR(ROUND(INDEX('Invoice &amp; Delivery Log'!$N$8:$N$157,MATCH($B146,'Invoice &amp; Delivery Log'!$A$8:$A$157,0))-$O146,2),""))</f>
        <v/>
      </c>
      <c r="Q146" s="36" t="str">
        <f aca="false">IF($A146="","",IF($R146="","OK","REVIEW"))</f>
        <v/>
      </c>
      <c r="R146" s="28" t="str">
        <f aca="false">IF($A146="","",TRIM(IF($B146="","Missing invoice ID. ","")&amp;IF(AND($B146&lt;&gt;"",COUNTIFS('Invoice &amp; Delivery Log'!$A$8:$A$157,$B146)=0),"Invoice ID not found in the invoice log. ","")&amp;IF(COUNTIFS('Payments Log'!$A$8:$A$207,$A146)&gt;1,"Duplicate payment ID. ","")&amp;IF(N($F146)&lt;=0,"Payment amount must be greater than zero. ","")&amp;IF($E146="","Missing payment date. ","")&amp;IF(AND($E146&lt;&gt;"",$J146&lt;&gt;"",$E146&lt;$J146),"Payment dated before the invoice date. ","")&amp;IF(AND($E146&lt;&gt;"",$E146&gt;Settings!$C$5),"Payment date is in the future. ","")&amp;IF(ROUND(N($P146),2)&lt;0,"Payment exceeds the invoice balance. ","")&amp;IF($G146="","Missing payment method. ","")))</f>
        <v/>
      </c>
    </row>
    <row r="147" customFormat="false" ht="15" hidden="false" customHeight="true" outlineLevel="0" collapsed="false">
      <c r="A147" s="44"/>
      <c r="B147" s="44"/>
      <c r="C147" s="65" t="str">
        <f aca="false">IF($B147="","",IFERROR(INDEX('Invoice &amp; Delivery Log'!$B$8:$B$157,MATCH($B147,'Invoice &amp; Delivery Log'!$A$8:$A$157,0)),""))</f>
        <v/>
      </c>
      <c r="D147" s="59" t="str">
        <f aca="false">IF($B147="","",IFERROR(INDEX('Invoice &amp; Delivery Log'!$C$8:$C$157,MATCH($B147,'Invoice &amp; Delivery Log'!$A$8:$A$157,0)),"INVOICE NOT FOUND"))</f>
        <v/>
      </c>
      <c r="E147" s="56"/>
      <c r="F147" s="58"/>
      <c r="G147" s="44"/>
      <c r="H147" s="45"/>
      <c r="I147" s="45"/>
      <c r="J147" s="66" t="str">
        <f aca="false">IF($B147="","",IFERROR(INDEX('Invoice &amp; Delivery Log'!$H$8:$H$157,MATCH($B147,'Invoice &amp; Delivery Log'!$A$8:$A$157,0)),""))</f>
        <v/>
      </c>
      <c r="K147" s="66" t="str">
        <f aca="false">IF($B147="","",IFERROR(INDEX('Invoice &amp; Delivery Log'!$M$8:$M$157,MATCH($B147,'Invoice &amp; Delivery Log'!$A$8:$A$157,0)),""))</f>
        <v/>
      </c>
      <c r="L147" s="52" t="str">
        <f aca="false">IF(OR($E147="",$J147=""),"",$E147-$J147)</f>
        <v/>
      </c>
      <c r="M147" s="52" t="str">
        <f aca="false">IF(OR($E147="",$K147=""),"",$E147-$K147)</f>
        <v/>
      </c>
      <c r="N147" s="53" t="str">
        <f aca="false">IF(OR($E147="",$K147=""),"n/a",IF($E147&lt;=$K147,"On Time","Late"))</f>
        <v>n/a</v>
      </c>
      <c r="O147" s="50" t="str">
        <f aca="false">IF($B147="","",SUMIFS($F$8:$F147,$B$8:$B147,$B147))</f>
        <v/>
      </c>
      <c r="P147" s="50" t="str">
        <f aca="false">IF($B147="","",IFERROR(ROUND(INDEX('Invoice &amp; Delivery Log'!$N$8:$N$157,MATCH($B147,'Invoice &amp; Delivery Log'!$A$8:$A$157,0))-$O147,2),""))</f>
        <v/>
      </c>
      <c r="Q147" s="53" t="str">
        <f aca="false">IF($A147="","",IF($R147="","OK","REVIEW"))</f>
        <v/>
      </c>
      <c r="R147" s="62" t="str">
        <f aca="false">IF($A147="","",TRIM(IF($B147="","Missing invoice ID. ","")&amp;IF(AND($B147&lt;&gt;"",COUNTIFS('Invoice &amp; Delivery Log'!$A$8:$A$157,$B147)=0),"Invoice ID not found in the invoice log. ","")&amp;IF(COUNTIFS('Payments Log'!$A$8:$A$207,$A147)&gt;1,"Duplicate payment ID. ","")&amp;IF(N($F147)&lt;=0,"Payment amount must be greater than zero. ","")&amp;IF($E147="","Missing payment date. ","")&amp;IF(AND($E147&lt;&gt;"",$J147&lt;&gt;"",$E147&lt;$J147),"Payment dated before the invoice date. ","")&amp;IF(AND($E147&lt;&gt;"",$E147&gt;Settings!$C$5),"Payment date is in the future. ","")&amp;IF(ROUND(N($P147),2)&lt;0,"Payment exceeds the invoice balance. ","")&amp;IF($G147="","Missing payment method. ","")))</f>
        <v/>
      </c>
    </row>
    <row r="148" customFormat="false" ht="15" hidden="false" customHeight="true" outlineLevel="0" collapsed="false">
      <c r="A148" s="44"/>
      <c r="B148" s="44"/>
      <c r="C148" s="63" t="str">
        <f aca="false">IF($B148="","",IFERROR(INDEX('Invoice &amp; Delivery Log'!$B$8:$B$157,MATCH($B148,'Invoice &amp; Delivery Log'!$A$8:$A$157,0)),""))</f>
        <v/>
      </c>
      <c r="D148" s="55" t="str">
        <f aca="false">IF($B148="","",IFERROR(INDEX('Invoice &amp; Delivery Log'!$C$8:$C$157,MATCH($B148,'Invoice &amp; Delivery Log'!$A$8:$A$157,0)),"INVOICE NOT FOUND"))</f>
        <v/>
      </c>
      <c r="E148" s="56"/>
      <c r="F148" s="58"/>
      <c r="G148" s="44"/>
      <c r="H148" s="45"/>
      <c r="I148" s="45"/>
      <c r="J148" s="64" t="str">
        <f aca="false">IF($B148="","",IFERROR(INDEX('Invoice &amp; Delivery Log'!$H$8:$H$157,MATCH($B148,'Invoice &amp; Delivery Log'!$A$8:$A$157,0)),""))</f>
        <v/>
      </c>
      <c r="K148" s="64" t="str">
        <f aca="false">IF($B148="","",IFERROR(INDEX('Invoice &amp; Delivery Log'!$M$8:$M$157,MATCH($B148,'Invoice &amp; Delivery Log'!$A$8:$A$157,0)),""))</f>
        <v/>
      </c>
      <c r="L148" s="47" t="str">
        <f aca="false">IF(OR($E148="",$J148=""),"",$E148-$J148)</f>
        <v/>
      </c>
      <c r="M148" s="47" t="str">
        <f aca="false">IF(OR($E148="",$K148=""),"",$E148-$K148)</f>
        <v/>
      </c>
      <c r="N148" s="36" t="str">
        <f aca="false">IF(OR($E148="",$K148=""),"n/a",IF($E148&lt;=$K148,"On Time","Late"))</f>
        <v>n/a</v>
      </c>
      <c r="O148" s="30" t="str">
        <f aca="false">IF($B148="","",SUMIFS($F$8:$F148,$B$8:$B148,$B148))</f>
        <v/>
      </c>
      <c r="P148" s="30" t="str">
        <f aca="false">IF($B148="","",IFERROR(ROUND(INDEX('Invoice &amp; Delivery Log'!$N$8:$N$157,MATCH($B148,'Invoice &amp; Delivery Log'!$A$8:$A$157,0))-$O148,2),""))</f>
        <v/>
      </c>
      <c r="Q148" s="36" t="str">
        <f aca="false">IF($A148="","",IF($R148="","OK","REVIEW"))</f>
        <v/>
      </c>
      <c r="R148" s="28" t="str">
        <f aca="false">IF($A148="","",TRIM(IF($B148="","Missing invoice ID. ","")&amp;IF(AND($B148&lt;&gt;"",COUNTIFS('Invoice &amp; Delivery Log'!$A$8:$A$157,$B148)=0),"Invoice ID not found in the invoice log. ","")&amp;IF(COUNTIFS('Payments Log'!$A$8:$A$207,$A148)&gt;1,"Duplicate payment ID. ","")&amp;IF(N($F148)&lt;=0,"Payment amount must be greater than zero. ","")&amp;IF($E148="","Missing payment date. ","")&amp;IF(AND($E148&lt;&gt;"",$J148&lt;&gt;"",$E148&lt;$J148),"Payment dated before the invoice date. ","")&amp;IF(AND($E148&lt;&gt;"",$E148&gt;Settings!$C$5),"Payment date is in the future. ","")&amp;IF(ROUND(N($P148),2)&lt;0,"Payment exceeds the invoice balance. ","")&amp;IF($G148="","Missing payment method. ","")))</f>
        <v/>
      </c>
    </row>
    <row r="149" customFormat="false" ht="15" hidden="false" customHeight="true" outlineLevel="0" collapsed="false">
      <c r="A149" s="44"/>
      <c r="B149" s="44"/>
      <c r="C149" s="65" t="str">
        <f aca="false">IF($B149="","",IFERROR(INDEX('Invoice &amp; Delivery Log'!$B$8:$B$157,MATCH($B149,'Invoice &amp; Delivery Log'!$A$8:$A$157,0)),""))</f>
        <v/>
      </c>
      <c r="D149" s="59" t="str">
        <f aca="false">IF($B149="","",IFERROR(INDEX('Invoice &amp; Delivery Log'!$C$8:$C$157,MATCH($B149,'Invoice &amp; Delivery Log'!$A$8:$A$157,0)),"INVOICE NOT FOUND"))</f>
        <v/>
      </c>
      <c r="E149" s="56"/>
      <c r="F149" s="58"/>
      <c r="G149" s="44"/>
      <c r="H149" s="45"/>
      <c r="I149" s="45"/>
      <c r="J149" s="66" t="str">
        <f aca="false">IF($B149="","",IFERROR(INDEX('Invoice &amp; Delivery Log'!$H$8:$H$157,MATCH($B149,'Invoice &amp; Delivery Log'!$A$8:$A$157,0)),""))</f>
        <v/>
      </c>
      <c r="K149" s="66" t="str">
        <f aca="false">IF($B149="","",IFERROR(INDEX('Invoice &amp; Delivery Log'!$M$8:$M$157,MATCH($B149,'Invoice &amp; Delivery Log'!$A$8:$A$157,0)),""))</f>
        <v/>
      </c>
      <c r="L149" s="52" t="str">
        <f aca="false">IF(OR($E149="",$J149=""),"",$E149-$J149)</f>
        <v/>
      </c>
      <c r="M149" s="52" t="str">
        <f aca="false">IF(OR($E149="",$K149=""),"",$E149-$K149)</f>
        <v/>
      </c>
      <c r="N149" s="53" t="str">
        <f aca="false">IF(OR($E149="",$K149=""),"n/a",IF($E149&lt;=$K149,"On Time","Late"))</f>
        <v>n/a</v>
      </c>
      <c r="O149" s="50" t="str">
        <f aca="false">IF($B149="","",SUMIFS($F$8:$F149,$B$8:$B149,$B149))</f>
        <v/>
      </c>
      <c r="P149" s="50" t="str">
        <f aca="false">IF($B149="","",IFERROR(ROUND(INDEX('Invoice &amp; Delivery Log'!$N$8:$N$157,MATCH($B149,'Invoice &amp; Delivery Log'!$A$8:$A$157,0))-$O149,2),""))</f>
        <v/>
      </c>
      <c r="Q149" s="53" t="str">
        <f aca="false">IF($A149="","",IF($R149="","OK","REVIEW"))</f>
        <v/>
      </c>
      <c r="R149" s="62" t="str">
        <f aca="false">IF($A149="","",TRIM(IF($B149="","Missing invoice ID. ","")&amp;IF(AND($B149&lt;&gt;"",COUNTIFS('Invoice &amp; Delivery Log'!$A$8:$A$157,$B149)=0),"Invoice ID not found in the invoice log. ","")&amp;IF(COUNTIFS('Payments Log'!$A$8:$A$207,$A149)&gt;1,"Duplicate payment ID. ","")&amp;IF(N($F149)&lt;=0,"Payment amount must be greater than zero. ","")&amp;IF($E149="","Missing payment date. ","")&amp;IF(AND($E149&lt;&gt;"",$J149&lt;&gt;"",$E149&lt;$J149),"Payment dated before the invoice date. ","")&amp;IF(AND($E149&lt;&gt;"",$E149&gt;Settings!$C$5),"Payment date is in the future. ","")&amp;IF(ROUND(N($P149),2)&lt;0,"Payment exceeds the invoice balance. ","")&amp;IF($G149="","Missing payment method. ","")))</f>
        <v/>
      </c>
    </row>
    <row r="150" customFormat="false" ht="15" hidden="false" customHeight="true" outlineLevel="0" collapsed="false">
      <c r="A150" s="44"/>
      <c r="B150" s="44"/>
      <c r="C150" s="63" t="str">
        <f aca="false">IF($B150="","",IFERROR(INDEX('Invoice &amp; Delivery Log'!$B$8:$B$157,MATCH($B150,'Invoice &amp; Delivery Log'!$A$8:$A$157,0)),""))</f>
        <v/>
      </c>
      <c r="D150" s="55" t="str">
        <f aca="false">IF($B150="","",IFERROR(INDEX('Invoice &amp; Delivery Log'!$C$8:$C$157,MATCH($B150,'Invoice &amp; Delivery Log'!$A$8:$A$157,0)),"INVOICE NOT FOUND"))</f>
        <v/>
      </c>
      <c r="E150" s="56"/>
      <c r="F150" s="58"/>
      <c r="G150" s="44"/>
      <c r="H150" s="45"/>
      <c r="I150" s="45"/>
      <c r="J150" s="64" t="str">
        <f aca="false">IF($B150="","",IFERROR(INDEX('Invoice &amp; Delivery Log'!$H$8:$H$157,MATCH($B150,'Invoice &amp; Delivery Log'!$A$8:$A$157,0)),""))</f>
        <v/>
      </c>
      <c r="K150" s="64" t="str">
        <f aca="false">IF($B150="","",IFERROR(INDEX('Invoice &amp; Delivery Log'!$M$8:$M$157,MATCH($B150,'Invoice &amp; Delivery Log'!$A$8:$A$157,0)),""))</f>
        <v/>
      </c>
      <c r="L150" s="47" t="str">
        <f aca="false">IF(OR($E150="",$J150=""),"",$E150-$J150)</f>
        <v/>
      </c>
      <c r="M150" s="47" t="str">
        <f aca="false">IF(OR($E150="",$K150=""),"",$E150-$K150)</f>
        <v/>
      </c>
      <c r="N150" s="36" t="str">
        <f aca="false">IF(OR($E150="",$K150=""),"n/a",IF($E150&lt;=$K150,"On Time","Late"))</f>
        <v>n/a</v>
      </c>
      <c r="O150" s="30" t="str">
        <f aca="false">IF($B150="","",SUMIFS($F$8:$F150,$B$8:$B150,$B150))</f>
        <v/>
      </c>
      <c r="P150" s="30" t="str">
        <f aca="false">IF($B150="","",IFERROR(ROUND(INDEX('Invoice &amp; Delivery Log'!$N$8:$N$157,MATCH($B150,'Invoice &amp; Delivery Log'!$A$8:$A$157,0))-$O150,2),""))</f>
        <v/>
      </c>
      <c r="Q150" s="36" t="str">
        <f aca="false">IF($A150="","",IF($R150="","OK","REVIEW"))</f>
        <v/>
      </c>
      <c r="R150" s="28" t="str">
        <f aca="false">IF($A150="","",TRIM(IF($B150="","Missing invoice ID. ","")&amp;IF(AND($B150&lt;&gt;"",COUNTIFS('Invoice &amp; Delivery Log'!$A$8:$A$157,$B150)=0),"Invoice ID not found in the invoice log. ","")&amp;IF(COUNTIFS('Payments Log'!$A$8:$A$207,$A150)&gt;1,"Duplicate payment ID. ","")&amp;IF(N($F150)&lt;=0,"Payment amount must be greater than zero. ","")&amp;IF($E150="","Missing payment date. ","")&amp;IF(AND($E150&lt;&gt;"",$J150&lt;&gt;"",$E150&lt;$J150),"Payment dated before the invoice date. ","")&amp;IF(AND($E150&lt;&gt;"",$E150&gt;Settings!$C$5),"Payment date is in the future. ","")&amp;IF(ROUND(N($P150),2)&lt;0,"Payment exceeds the invoice balance. ","")&amp;IF($G150="","Missing payment method. ","")))</f>
        <v/>
      </c>
    </row>
    <row r="151" customFormat="false" ht="15" hidden="false" customHeight="true" outlineLevel="0" collapsed="false">
      <c r="A151" s="44"/>
      <c r="B151" s="44"/>
      <c r="C151" s="65" t="str">
        <f aca="false">IF($B151="","",IFERROR(INDEX('Invoice &amp; Delivery Log'!$B$8:$B$157,MATCH($B151,'Invoice &amp; Delivery Log'!$A$8:$A$157,0)),""))</f>
        <v/>
      </c>
      <c r="D151" s="59" t="str">
        <f aca="false">IF($B151="","",IFERROR(INDEX('Invoice &amp; Delivery Log'!$C$8:$C$157,MATCH($B151,'Invoice &amp; Delivery Log'!$A$8:$A$157,0)),"INVOICE NOT FOUND"))</f>
        <v/>
      </c>
      <c r="E151" s="56"/>
      <c r="F151" s="58"/>
      <c r="G151" s="44"/>
      <c r="H151" s="45"/>
      <c r="I151" s="45"/>
      <c r="J151" s="66" t="str">
        <f aca="false">IF($B151="","",IFERROR(INDEX('Invoice &amp; Delivery Log'!$H$8:$H$157,MATCH($B151,'Invoice &amp; Delivery Log'!$A$8:$A$157,0)),""))</f>
        <v/>
      </c>
      <c r="K151" s="66" t="str">
        <f aca="false">IF($B151="","",IFERROR(INDEX('Invoice &amp; Delivery Log'!$M$8:$M$157,MATCH($B151,'Invoice &amp; Delivery Log'!$A$8:$A$157,0)),""))</f>
        <v/>
      </c>
      <c r="L151" s="52" t="str">
        <f aca="false">IF(OR($E151="",$J151=""),"",$E151-$J151)</f>
        <v/>
      </c>
      <c r="M151" s="52" t="str">
        <f aca="false">IF(OR($E151="",$K151=""),"",$E151-$K151)</f>
        <v/>
      </c>
      <c r="N151" s="53" t="str">
        <f aca="false">IF(OR($E151="",$K151=""),"n/a",IF($E151&lt;=$K151,"On Time","Late"))</f>
        <v>n/a</v>
      </c>
      <c r="O151" s="50" t="str">
        <f aca="false">IF($B151="","",SUMIFS($F$8:$F151,$B$8:$B151,$B151))</f>
        <v/>
      </c>
      <c r="P151" s="50" t="str">
        <f aca="false">IF($B151="","",IFERROR(ROUND(INDEX('Invoice &amp; Delivery Log'!$N$8:$N$157,MATCH($B151,'Invoice &amp; Delivery Log'!$A$8:$A$157,0))-$O151,2),""))</f>
        <v/>
      </c>
      <c r="Q151" s="53" t="str">
        <f aca="false">IF($A151="","",IF($R151="","OK","REVIEW"))</f>
        <v/>
      </c>
      <c r="R151" s="62" t="str">
        <f aca="false">IF($A151="","",TRIM(IF($B151="","Missing invoice ID. ","")&amp;IF(AND($B151&lt;&gt;"",COUNTIFS('Invoice &amp; Delivery Log'!$A$8:$A$157,$B151)=0),"Invoice ID not found in the invoice log. ","")&amp;IF(COUNTIFS('Payments Log'!$A$8:$A$207,$A151)&gt;1,"Duplicate payment ID. ","")&amp;IF(N($F151)&lt;=0,"Payment amount must be greater than zero. ","")&amp;IF($E151="","Missing payment date. ","")&amp;IF(AND($E151&lt;&gt;"",$J151&lt;&gt;"",$E151&lt;$J151),"Payment dated before the invoice date. ","")&amp;IF(AND($E151&lt;&gt;"",$E151&gt;Settings!$C$5),"Payment date is in the future. ","")&amp;IF(ROUND(N($P151),2)&lt;0,"Payment exceeds the invoice balance. ","")&amp;IF($G151="","Missing payment method. ","")))</f>
        <v/>
      </c>
    </row>
    <row r="152" customFormat="false" ht="15" hidden="false" customHeight="true" outlineLevel="0" collapsed="false">
      <c r="A152" s="44"/>
      <c r="B152" s="44"/>
      <c r="C152" s="63" t="str">
        <f aca="false">IF($B152="","",IFERROR(INDEX('Invoice &amp; Delivery Log'!$B$8:$B$157,MATCH($B152,'Invoice &amp; Delivery Log'!$A$8:$A$157,0)),""))</f>
        <v/>
      </c>
      <c r="D152" s="55" t="str">
        <f aca="false">IF($B152="","",IFERROR(INDEX('Invoice &amp; Delivery Log'!$C$8:$C$157,MATCH($B152,'Invoice &amp; Delivery Log'!$A$8:$A$157,0)),"INVOICE NOT FOUND"))</f>
        <v/>
      </c>
      <c r="E152" s="56"/>
      <c r="F152" s="58"/>
      <c r="G152" s="44"/>
      <c r="H152" s="45"/>
      <c r="I152" s="45"/>
      <c r="J152" s="64" t="str">
        <f aca="false">IF($B152="","",IFERROR(INDEX('Invoice &amp; Delivery Log'!$H$8:$H$157,MATCH($B152,'Invoice &amp; Delivery Log'!$A$8:$A$157,0)),""))</f>
        <v/>
      </c>
      <c r="K152" s="64" t="str">
        <f aca="false">IF($B152="","",IFERROR(INDEX('Invoice &amp; Delivery Log'!$M$8:$M$157,MATCH($B152,'Invoice &amp; Delivery Log'!$A$8:$A$157,0)),""))</f>
        <v/>
      </c>
      <c r="L152" s="47" t="str">
        <f aca="false">IF(OR($E152="",$J152=""),"",$E152-$J152)</f>
        <v/>
      </c>
      <c r="M152" s="47" t="str">
        <f aca="false">IF(OR($E152="",$K152=""),"",$E152-$K152)</f>
        <v/>
      </c>
      <c r="N152" s="36" t="str">
        <f aca="false">IF(OR($E152="",$K152=""),"n/a",IF($E152&lt;=$K152,"On Time","Late"))</f>
        <v>n/a</v>
      </c>
      <c r="O152" s="30" t="str">
        <f aca="false">IF($B152="","",SUMIFS($F$8:$F152,$B$8:$B152,$B152))</f>
        <v/>
      </c>
      <c r="P152" s="30" t="str">
        <f aca="false">IF($B152="","",IFERROR(ROUND(INDEX('Invoice &amp; Delivery Log'!$N$8:$N$157,MATCH($B152,'Invoice &amp; Delivery Log'!$A$8:$A$157,0))-$O152,2),""))</f>
        <v/>
      </c>
      <c r="Q152" s="36" t="str">
        <f aca="false">IF($A152="","",IF($R152="","OK","REVIEW"))</f>
        <v/>
      </c>
      <c r="R152" s="28" t="str">
        <f aca="false">IF($A152="","",TRIM(IF($B152="","Missing invoice ID. ","")&amp;IF(AND($B152&lt;&gt;"",COUNTIFS('Invoice &amp; Delivery Log'!$A$8:$A$157,$B152)=0),"Invoice ID not found in the invoice log. ","")&amp;IF(COUNTIFS('Payments Log'!$A$8:$A$207,$A152)&gt;1,"Duplicate payment ID. ","")&amp;IF(N($F152)&lt;=0,"Payment amount must be greater than zero. ","")&amp;IF($E152="","Missing payment date. ","")&amp;IF(AND($E152&lt;&gt;"",$J152&lt;&gt;"",$E152&lt;$J152),"Payment dated before the invoice date. ","")&amp;IF(AND($E152&lt;&gt;"",$E152&gt;Settings!$C$5),"Payment date is in the future. ","")&amp;IF(ROUND(N($P152),2)&lt;0,"Payment exceeds the invoice balance. ","")&amp;IF($G152="","Missing payment method. ","")))</f>
        <v/>
      </c>
    </row>
    <row r="153" customFormat="false" ht="15" hidden="false" customHeight="true" outlineLevel="0" collapsed="false">
      <c r="A153" s="44"/>
      <c r="B153" s="44"/>
      <c r="C153" s="65" t="str">
        <f aca="false">IF($B153="","",IFERROR(INDEX('Invoice &amp; Delivery Log'!$B$8:$B$157,MATCH($B153,'Invoice &amp; Delivery Log'!$A$8:$A$157,0)),""))</f>
        <v/>
      </c>
      <c r="D153" s="59" t="str">
        <f aca="false">IF($B153="","",IFERROR(INDEX('Invoice &amp; Delivery Log'!$C$8:$C$157,MATCH($B153,'Invoice &amp; Delivery Log'!$A$8:$A$157,0)),"INVOICE NOT FOUND"))</f>
        <v/>
      </c>
      <c r="E153" s="56"/>
      <c r="F153" s="58"/>
      <c r="G153" s="44"/>
      <c r="H153" s="45"/>
      <c r="I153" s="45"/>
      <c r="J153" s="66" t="str">
        <f aca="false">IF($B153="","",IFERROR(INDEX('Invoice &amp; Delivery Log'!$H$8:$H$157,MATCH($B153,'Invoice &amp; Delivery Log'!$A$8:$A$157,0)),""))</f>
        <v/>
      </c>
      <c r="K153" s="66" t="str">
        <f aca="false">IF($B153="","",IFERROR(INDEX('Invoice &amp; Delivery Log'!$M$8:$M$157,MATCH($B153,'Invoice &amp; Delivery Log'!$A$8:$A$157,0)),""))</f>
        <v/>
      </c>
      <c r="L153" s="52" t="str">
        <f aca="false">IF(OR($E153="",$J153=""),"",$E153-$J153)</f>
        <v/>
      </c>
      <c r="M153" s="52" t="str">
        <f aca="false">IF(OR($E153="",$K153=""),"",$E153-$K153)</f>
        <v/>
      </c>
      <c r="N153" s="53" t="str">
        <f aca="false">IF(OR($E153="",$K153=""),"n/a",IF($E153&lt;=$K153,"On Time","Late"))</f>
        <v>n/a</v>
      </c>
      <c r="O153" s="50" t="str">
        <f aca="false">IF($B153="","",SUMIFS($F$8:$F153,$B$8:$B153,$B153))</f>
        <v/>
      </c>
      <c r="P153" s="50" t="str">
        <f aca="false">IF($B153="","",IFERROR(ROUND(INDEX('Invoice &amp; Delivery Log'!$N$8:$N$157,MATCH($B153,'Invoice &amp; Delivery Log'!$A$8:$A$157,0))-$O153,2),""))</f>
        <v/>
      </c>
      <c r="Q153" s="53" t="str">
        <f aca="false">IF($A153="","",IF($R153="","OK","REVIEW"))</f>
        <v/>
      </c>
      <c r="R153" s="62" t="str">
        <f aca="false">IF($A153="","",TRIM(IF($B153="","Missing invoice ID. ","")&amp;IF(AND($B153&lt;&gt;"",COUNTIFS('Invoice &amp; Delivery Log'!$A$8:$A$157,$B153)=0),"Invoice ID not found in the invoice log. ","")&amp;IF(COUNTIFS('Payments Log'!$A$8:$A$207,$A153)&gt;1,"Duplicate payment ID. ","")&amp;IF(N($F153)&lt;=0,"Payment amount must be greater than zero. ","")&amp;IF($E153="","Missing payment date. ","")&amp;IF(AND($E153&lt;&gt;"",$J153&lt;&gt;"",$E153&lt;$J153),"Payment dated before the invoice date. ","")&amp;IF(AND($E153&lt;&gt;"",$E153&gt;Settings!$C$5),"Payment date is in the future. ","")&amp;IF(ROUND(N($P153),2)&lt;0,"Payment exceeds the invoice balance. ","")&amp;IF($G153="","Missing payment method. ","")))</f>
        <v/>
      </c>
    </row>
    <row r="154" customFormat="false" ht="15" hidden="false" customHeight="true" outlineLevel="0" collapsed="false">
      <c r="A154" s="44"/>
      <c r="B154" s="44"/>
      <c r="C154" s="63" t="str">
        <f aca="false">IF($B154="","",IFERROR(INDEX('Invoice &amp; Delivery Log'!$B$8:$B$157,MATCH($B154,'Invoice &amp; Delivery Log'!$A$8:$A$157,0)),""))</f>
        <v/>
      </c>
      <c r="D154" s="55" t="str">
        <f aca="false">IF($B154="","",IFERROR(INDEX('Invoice &amp; Delivery Log'!$C$8:$C$157,MATCH($B154,'Invoice &amp; Delivery Log'!$A$8:$A$157,0)),"INVOICE NOT FOUND"))</f>
        <v/>
      </c>
      <c r="E154" s="56"/>
      <c r="F154" s="58"/>
      <c r="G154" s="44"/>
      <c r="H154" s="45"/>
      <c r="I154" s="45"/>
      <c r="J154" s="64" t="str">
        <f aca="false">IF($B154="","",IFERROR(INDEX('Invoice &amp; Delivery Log'!$H$8:$H$157,MATCH($B154,'Invoice &amp; Delivery Log'!$A$8:$A$157,0)),""))</f>
        <v/>
      </c>
      <c r="K154" s="64" t="str">
        <f aca="false">IF($B154="","",IFERROR(INDEX('Invoice &amp; Delivery Log'!$M$8:$M$157,MATCH($B154,'Invoice &amp; Delivery Log'!$A$8:$A$157,0)),""))</f>
        <v/>
      </c>
      <c r="L154" s="47" t="str">
        <f aca="false">IF(OR($E154="",$J154=""),"",$E154-$J154)</f>
        <v/>
      </c>
      <c r="M154" s="47" t="str">
        <f aca="false">IF(OR($E154="",$K154=""),"",$E154-$K154)</f>
        <v/>
      </c>
      <c r="N154" s="36" t="str">
        <f aca="false">IF(OR($E154="",$K154=""),"n/a",IF($E154&lt;=$K154,"On Time","Late"))</f>
        <v>n/a</v>
      </c>
      <c r="O154" s="30" t="str">
        <f aca="false">IF($B154="","",SUMIFS($F$8:$F154,$B$8:$B154,$B154))</f>
        <v/>
      </c>
      <c r="P154" s="30" t="str">
        <f aca="false">IF($B154="","",IFERROR(ROUND(INDEX('Invoice &amp; Delivery Log'!$N$8:$N$157,MATCH($B154,'Invoice &amp; Delivery Log'!$A$8:$A$157,0))-$O154,2),""))</f>
        <v/>
      </c>
      <c r="Q154" s="36" t="str">
        <f aca="false">IF($A154="","",IF($R154="","OK","REVIEW"))</f>
        <v/>
      </c>
      <c r="R154" s="28" t="str">
        <f aca="false">IF($A154="","",TRIM(IF($B154="","Missing invoice ID. ","")&amp;IF(AND($B154&lt;&gt;"",COUNTIFS('Invoice &amp; Delivery Log'!$A$8:$A$157,$B154)=0),"Invoice ID not found in the invoice log. ","")&amp;IF(COUNTIFS('Payments Log'!$A$8:$A$207,$A154)&gt;1,"Duplicate payment ID. ","")&amp;IF(N($F154)&lt;=0,"Payment amount must be greater than zero. ","")&amp;IF($E154="","Missing payment date. ","")&amp;IF(AND($E154&lt;&gt;"",$J154&lt;&gt;"",$E154&lt;$J154),"Payment dated before the invoice date. ","")&amp;IF(AND($E154&lt;&gt;"",$E154&gt;Settings!$C$5),"Payment date is in the future. ","")&amp;IF(ROUND(N($P154),2)&lt;0,"Payment exceeds the invoice balance. ","")&amp;IF($G154="","Missing payment method. ","")))</f>
        <v/>
      </c>
    </row>
    <row r="155" customFormat="false" ht="15" hidden="false" customHeight="true" outlineLevel="0" collapsed="false">
      <c r="A155" s="44"/>
      <c r="B155" s="44"/>
      <c r="C155" s="65" t="str">
        <f aca="false">IF($B155="","",IFERROR(INDEX('Invoice &amp; Delivery Log'!$B$8:$B$157,MATCH($B155,'Invoice &amp; Delivery Log'!$A$8:$A$157,0)),""))</f>
        <v/>
      </c>
      <c r="D155" s="59" t="str">
        <f aca="false">IF($B155="","",IFERROR(INDEX('Invoice &amp; Delivery Log'!$C$8:$C$157,MATCH($B155,'Invoice &amp; Delivery Log'!$A$8:$A$157,0)),"INVOICE NOT FOUND"))</f>
        <v/>
      </c>
      <c r="E155" s="56"/>
      <c r="F155" s="58"/>
      <c r="G155" s="44"/>
      <c r="H155" s="45"/>
      <c r="I155" s="45"/>
      <c r="J155" s="66" t="str">
        <f aca="false">IF($B155="","",IFERROR(INDEX('Invoice &amp; Delivery Log'!$H$8:$H$157,MATCH($B155,'Invoice &amp; Delivery Log'!$A$8:$A$157,0)),""))</f>
        <v/>
      </c>
      <c r="K155" s="66" t="str">
        <f aca="false">IF($B155="","",IFERROR(INDEX('Invoice &amp; Delivery Log'!$M$8:$M$157,MATCH($B155,'Invoice &amp; Delivery Log'!$A$8:$A$157,0)),""))</f>
        <v/>
      </c>
      <c r="L155" s="52" t="str">
        <f aca="false">IF(OR($E155="",$J155=""),"",$E155-$J155)</f>
        <v/>
      </c>
      <c r="M155" s="52" t="str">
        <f aca="false">IF(OR($E155="",$K155=""),"",$E155-$K155)</f>
        <v/>
      </c>
      <c r="N155" s="53" t="str">
        <f aca="false">IF(OR($E155="",$K155=""),"n/a",IF($E155&lt;=$K155,"On Time","Late"))</f>
        <v>n/a</v>
      </c>
      <c r="O155" s="50" t="str">
        <f aca="false">IF($B155="","",SUMIFS($F$8:$F155,$B$8:$B155,$B155))</f>
        <v/>
      </c>
      <c r="P155" s="50" t="str">
        <f aca="false">IF($B155="","",IFERROR(ROUND(INDEX('Invoice &amp; Delivery Log'!$N$8:$N$157,MATCH($B155,'Invoice &amp; Delivery Log'!$A$8:$A$157,0))-$O155,2),""))</f>
        <v/>
      </c>
      <c r="Q155" s="53" t="str">
        <f aca="false">IF($A155="","",IF($R155="","OK","REVIEW"))</f>
        <v/>
      </c>
      <c r="R155" s="62" t="str">
        <f aca="false">IF($A155="","",TRIM(IF($B155="","Missing invoice ID. ","")&amp;IF(AND($B155&lt;&gt;"",COUNTIFS('Invoice &amp; Delivery Log'!$A$8:$A$157,$B155)=0),"Invoice ID not found in the invoice log. ","")&amp;IF(COUNTIFS('Payments Log'!$A$8:$A$207,$A155)&gt;1,"Duplicate payment ID. ","")&amp;IF(N($F155)&lt;=0,"Payment amount must be greater than zero. ","")&amp;IF($E155="","Missing payment date. ","")&amp;IF(AND($E155&lt;&gt;"",$J155&lt;&gt;"",$E155&lt;$J155),"Payment dated before the invoice date. ","")&amp;IF(AND($E155&lt;&gt;"",$E155&gt;Settings!$C$5),"Payment date is in the future. ","")&amp;IF(ROUND(N($P155),2)&lt;0,"Payment exceeds the invoice balance. ","")&amp;IF($G155="","Missing payment method. ","")))</f>
        <v/>
      </c>
    </row>
    <row r="156" customFormat="false" ht="15" hidden="false" customHeight="true" outlineLevel="0" collapsed="false">
      <c r="A156" s="44"/>
      <c r="B156" s="44"/>
      <c r="C156" s="63" t="str">
        <f aca="false">IF($B156="","",IFERROR(INDEX('Invoice &amp; Delivery Log'!$B$8:$B$157,MATCH($B156,'Invoice &amp; Delivery Log'!$A$8:$A$157,0)),""))</f>
        <v/>
      </c>
      <c r="D156" s="55" t="str">
        <f aca="false">IF($B156="","",IFERROR(INDEX('Invoice &amp; Delivery Log'!$C$8:$C$157,MATCH($B156,'Invoice &amp; Delivery Log'!$A$8:$A$157,0)),"INVOICE NOT FOUND"))</f>
        <v/>
      </c>
      <c r="E156" s="56"/>
      <c r="F156" s="58"/>
      <c r="G156" s="44"/>
      <c r="H156" s="45"/>
      <c r="I156" s="45"/>
      <c r="J156" s="64" t="str">
        <f aca="false">IF($B156="","",IFERROR(INDEX('Invoice &amp; Delivery Log'!$H$8:$H$157,MATCH($B156,'Invoice &amp; Delivery Log'!$A$8:$A$157,0)),""))</f>
        <v/>
      </c>
      <c r="K156" s="64" t="str">
        <f aca="false">IF($B156="","",IFERROR(INDEX('Invoice &amp; Delivery Log'!$M$8:$M$157,MATCH($B156,'Invoice &amp; Delivery Log'!$A$8:$A$157,0)),""))</f>
        <v/>
      </c>
      <c r="L156" s="47" t="str">
        <f aca="false">IF(OR($E156="",$J156=""),"",$E156-$J156)</f>
        <v/>
      </c>
      <c r="M156" s="47" t="str">
        <f aca="false">IF(OR($E156="",$K156=""),"",$E156-$K156)</f>
        <v/>
      </c>
      <c r="N156" s="36" t="str">
        <f aca="false">IF(OR($E156="",$K156=""),"n/a",IF($E156&lt;=$K156,"On Time","Late"))</f>
        <v>n/a</v>
      </c>
      <c r="O156" s="30" t="str">
        <f aca="false">IF($B156="","",SUMIFS($F$8:$F156,$B$8:$B156,$B156))</f>
        <v/>
      </c>
      <c r="P156" s="30" t="str">
        <f aca="false">IF($B156="","",IFERROR(ROUND(INDEX('Invoice &amp; Delivery Log'!$N$8:$N$157,MATCH($B156,'Invoice &amp; Delivery Log'!$A$8:$A$157,0))-$O156,2),""))</f>
        <v/>
      </c>
      <c r="Q156" s="36" t="str">
        <f aca="false">IF($A156="","",IF($R156="","OK","REVIEW"))</f>
        <v/>
      </c>
      <c r="R156" s="28" t="str">
        <f aca="false">IF($A156="","",TRIM(IF($B156="","Missing invoice ID. ","")&amp;IF(AND($B156&lt;&gt;"",COUNTIFS('Invoice &amp; Delivery Log'!$A$8:$A$157,$B156)=0),"Invoice ID not found in the invoice log. ","")&amp;IF(COUNTIFS('Payments Log'!$A$8:$A$207,$A156)&gt;1,"Duplicate payment ID. ","")&amp;IF(N($F156)&lt;=0,"Payment amount must be greater than zero. ","")&amp;IF($E156="","Missing payment date. ","")&amp;IF(AND($E156&lt;&gt;"",$J156&lt;&gt;"",$E156&lt;$J156),"Payment dated before the invoice date. ","")&amp;IF(AND($E156&lt;&gt;"",$E156&gt;Settings!$C$5),"Payment date is in the future. ","")&amp;IF(ROUND(N($P156),2)&lt;0,"Payment exceeds the invoice balance. ","")&amp;IF($G156="","Missing payment method. ","")))</f>
        <v/>
      </c>
    </row>
    <row r="157" customFormat="false" ht="15" hidden="false" customHeight="true" outlineLevel="0" collapsed="false">
      <c r="A157" s="44"/>
      <c r="B157" s="44"/>
      <c r="C157" s="65" t="str">
        <f aca="false">IF($B157="","",IFERROR(INDEX('Invoice &amp; Delivery Log'!$B$8:$B$157,MATCH($B157,'Invoice &amp; Delivery Log'!$A$8:$A$157,0)),""))</f>
        <v/>
      </c>
      <c r="D157" s="59" t="str">
        <f aca="false">IF($B157="","",IFERROR(INDEX('Invoice &amp; Delivery Log'!$C$8:$C$157,MATCH($B157,'Invoice &amp; Delivery Log'!$A$8:$A$157,0)),"INVOICE NOT FOUND"))</f>
        <v/>
      </c>
      <c r="E157" s="56"/>
      <c r="F157" s="58"/>
      <c r="G157" s="44"/>
      <c r="H157" s="45"/>
      <c r="I157" s="45"/>
      <c r="J157" s="66" t="str">
        <f aca="false">IF($B157="","",IFERROR(INDEX('Invoice &amp; Delivery Log'!$H$8:$H$157,MATCH($B157,'Invoice &amp; Delivery Log'!$A$8:$A$157,0)),""))</f>
        <v/>
      </c>
      <c r="K157" s="66" t="str">
        <f aca="false">IF($B157="","",IFERROR(INDEX('Invoice &amp; Delivery Log'!$M$8:$M$157,MATCH($B157,'Invoice &amp; Delivery Log'!$A$8:$A$157,0)),""))</f>
        <v/>
      </c>
      <c r="L157" s="52" t="str">
        <f aca="false">IF(OR($E157="",$J157=""),"",$E157-$J157)</f>
        <v/>
      </c>
      <c r="M157" s="52" t="str">
        <f aca="false">IF(OR($E157="",$K157=""),"",$E157-$K157)</f>
        <v/>
      </c>
      <c r="N157" s="53" t="str">
        <f aca="false">IF(OR($E157="",$K157=""),"n/a",IF($E157&lt;=$K157,"On Time","Late"))</f>
        <v>n/a</v>
      </c>
      <c r="O157" s="50" t="str">
        <f aca="false">IF($B157="","",SUMIFS($F$8:$F157,$B$8:$B157,$B157))</f>
        <v/>
      </c>
      <c r="P157" s="50" t="str">
        <f aca="false">IF($B157="","",IFERROR(ROUND(INDEX('Invoice &amp; Delivery Log'!$N$8:$N$157,MATCH($B157,'Invoice &amp; Delivery Log'!$A$8:$A$157,0))-$O157,2),""))</f>
        <v/>
      </c>
      <c r="Q157" s="53" t="str">
        <f aca="false">IF($A157="","",IF($R157="","OK","REVIEW"))</f>
        <v/>
      </c>
      <c r="R157" s="62" t="str">
        <f aca="false">IF($A157="","",TRIM(IF($B157="","Missing invoice ID. ","")&amp;IF(AND($B157&lt;&gt;"",COUNTIFS('Invoice &amp; Delivery Log'!$A$8:$A$157,$B157)=0),"Invoice ID not found in the invoice log. ","")&amp;IF(COUNTIFS('Payments Log'!$A$8:$A$207,$A157)&gt;1,"Duplicate payment ID. ","")&amp;IF(N($F157)&lt;=0,"Payment amount must be greater than zero. ","")&amp;IF($E157="","Missing payment date. ","")&amp;IF(AND($E157&lt;&gt;"",$J157&lt;&gt;"",$E157&lt;$J157),"Payment dated before the invoice date. ","")&amp;IF(AND($E157&lt;&gt;"",$E157&gt;Settings!$C$5),"Payment date is in the future. ","")&amp;IF(ROUND(N($P157),2)&lt;0,"Payment exceeds the invoice balance. ","")&amp;IF($G157="","Missing payment method. ","")))</f>
        <v/>
      </c>
    </row>
    <row r="158" customFormat="false" ht="15" hidden="false" customHeight="true" outlineLevel="0" collapsed="false">
      <c r="A158" s="44"/>
      <c r="B158" s="44"/>
      <c r="C158" s="63" t="str">
        <f aca="false">IF($B158="","",IFERROR(INDEX('Invoice &amp; Delivery Log'!$B$8:$B$157,MATCH($B158,'Invoice &amp; Delivery Log'!$A$8:$A$157,0)),""))</f>
        <v/>
      </c>
      <c r="D158" s="55" t="str">
        <f aca="false">IF($B158="","",IFERROR(INDEX('Invoice &amp; Delivery Log'!$C$8:$C$157,MATCH($B158,'Invoice &amp; Delivery Log'!$A$8:$A$157,0)),"INVOICE NOT FOUND"))</f>
        <v/>
      </c>
      <c r="E158" s="56"/>
      <c r="F158" s="58"/>
      <c r="G158" s="44"/>
      <c r="H158" s="45"/>
      <c r="I158" s="45"/>
      <c r="J158" s="64" t="str">
        <f aca="false">IF($B158="","",IFERROR(INDEX('Invoice &amp; Delivery Log'!$H$8:$H$157,MATCH($B158,'Invoice &amp; Delivery Log'!$A$8:$A$157,0)),""))</f>
        <v/>
      </c>
      <c r="K158" s="64" t="str">
        <f aca="false">IF($B158="","",IFERROR(INDEX('Invoice &amp; Delivery Log'!$M$8:$M$157,MATCH($B158,'Invoice &amp; Delivery Log'!$A$8:$A$157,0)),""))</f>
        <v/>
      </c>
      <c r="L158" s="47" t="str">
        <f aca="false">IF(OR($E158="",$J158=""),"",$E158-$J158)</f>
        <v/>
      </c>
      <c r="M158" s="47" t="str">
        <f aca="false">IF(OR($E158="",$K158=""),"",$E158-$K158)</f>
        <v/>
      </c>
      <c r="N158" s="36" t="str">
        <f aca="false">IF(OR($E158="",$K158=""),"n/a",IF($E158&lt;=$K158,"On Time","Late"))</f>
        <v>n/a</v>
      </c>
      <c r="O158" s="30" t="str">
        <f aca="false">IF($B158="","",SUMIFS($F$8:$F158,$B$8:$B158,$B158))</f>
        <v/>
      </c>
      <c r="P158" s="30" t="str">
        <f aca="false">IF($B158="","",IFERROR(ROUND(INDEX('Invoice &amp; Delivery Log'!$N$8:$N$157,MATCH($B158,'Invoice &amp; Delivery Log'!$A$8:$A$157,0))-$O158,2),""))</f>
        <v/>
      </c>
      <c r="Q158" s="36" t="str">
        <f aca="false">IF($A158="","",IF($R158="","OK","REVIEW"))</f>
        <v/>
      </c>
      <c r="R158" s="28" t="str">
        <f aca="false">IF($A158="","",TRIM(IF($B158="","Missing invoice ID. ","")&amp;IF(AND($B158&lt;&gt;"",COUNTIFS('Invoice &amp; Delivery Log'!$A$8:$A$157,$B158)=0),"Invoice ID not found in the invoice log. ","")&amp;IF(COUNTIFS('Payments Log'!$A$8:$A$207,$A158)&gt;1,"Duplicate payment ID. ","")&amp;IF(N($F158)&lt;=0,"Payment amount must be greater than zero. ","")&amp;IF($E158="","Missing payment date. ","")&amp;IF(AND($E158&lt;&gt;"",$J158&lt;&gt;"",$E158&lt;$J158),"Payment dated before the invoice date. ","")&amp;IF(AND($E158&lt;&gt;"",$E158&gt;Settings!$C$5),"Payment date is in the future. ","")&amp;IF(ROUND(N($P158),2)&lt;0,"Payment exceeds the invoice balance. ","")&amp;IF($G158="","Missing payment method. ","")))</f>
        <v/>
      </c>
    </row>
    <row r="159" customFormat="false" ht="15" hidden="false" customHeight="true" outlineLevel="0" collapsed="false">
      <c r="A159" s="44"/>
      <c r="B159" s="44"/>
      <c r="C159" s="65" t="str">
        <f aca="false">IF($B159="","",IFERROR(INDEX('Invoice &amp; Delivery Log'!$B$8:$B$157,MATCH($B159,'Invoice &amp; Delivery Log'!$A$8:$A$157,0)),""))</f>
        <v/>
      </c>
      <c r="D159" s="59" t="str">
        <f aca="false">IF($B159="","",IFERROR(INDEX('Invoice &amp; Delivery Log'!$C$8:$C$157,MATCH($B159,'Invoice &amp; Delivery Log'!$A$8:$A$157,0)),"INVOICE NOT FOUND"))</f>
        <v/>
      </c>
      <c r="E159" s="56"/>
      <c r="F159" s="58"/>
      <c r="G159" s="44"/>
      <c r="H159" s="45"/>
      <c r="I159" s="45"/>
      <c r="J159" s="66" t="str">
        <f aca="false">IF($B159="","",IFERROR(INDEX('Invoice &amp; Delivery Log'!$H$8:$H$157,MATCH($B159,'Invoice &amp; Delivery Log'!$A$8:$A$157,0)),""))</f>
        <v/>
      </c>
      <c r="K159" s="66" t="str">
        <f aca="false">IF($B159="","",IFERROR(INDEX('Invoice &amp; Delivery Log'!$M$8:$M$157,MATCH($B159,'Invoice &amp; Delivery Log'!$A$8:$A$157,0)),""))</f>
        <v/>
      </c>
      <c r="L159" s="52" t="str">
        <f aca="false">IF(OR($E159="",$J159=""),"",$E159-$J159)</f>
        <v/>
      </c>
      <c r="M159" s="52" t="str">
        <f aca="false">IF(OR($E159="",$K159=""),"",$E159-$K159)</f>
        <v/>
      </c>
      <c r="N159" s="53" t="str">
        <f aca="false">IF(OR($E159="",$K159=""),"n/a",IF($E159&lt;=$K159,"On Time","Late"))</f>
        <v>n/a</v>
      </c>
      <c r="O159" s="50" t="str">
        <f aca="false">IF($B159="","",SUMIFS($F$8:$F159,$B$8:$B159,$B159))</f>
        <v/>
      </c>
      <c r="P159" s="50" t="str">
        <f aca="false">IF($B159="","",IFERROR(ROUND(INDEX('Invoice &amp; Delivery Log'!$N$8:$N$157,MATCH($B159,'Invoice &amp; Delivery Log'!$A$8:$A$157,0))-$O159,2),""))</f>
        <v/>
      </c>
      <c r="Q159" s="53" t="str">
        <f aca="false">IF($A159="","",IF($R159="","OK","REVIEW"))</f>
        <v/>
      </c>
      <c r="R159" s="62" t="str">
        <f aca="false">IF($A159="","",TRIM(IF($B159="","Missing invoice ID. ","")&amp;IF(AND($B159&lt;&gt;"",COUNTIFS('Invoice &amp; Delivery Log'!$A$8:$A$157,$B159)=0),"Invoice ID not found in the invoice log. ","")&amp;IF(COUNTIFS('Payments Log'!$A$8:$A$207,$A159)&gt;1,"Duplicate payment ID. ","")&amp;IF(N($F159)&lt;=0,"Payment amount must be greater than zero. ","")&amp;IF($E159="","Missing payment date. ","")&amp;IF(AND($E159&lt;&gt;"",$J159&lt;&gt;"",$E159&lt;$J159),"Payment dated before the invoice date. ","")&amp;IF(AND($E159&lt;&gt;"",$E159&gt;Settings!$C$5),"Payment date is in the future. ","")&amp;IF(ROUND(N($P159),2)&lt;0,"Payment exceeds the invoice balance. ","")&amp;IF($G159="","Missing payment method. ","")))</f>
        <v/>
      </c>
    </row>
    <row r="160" customFormat="false" ht="15" hidden="false" customHeight="true" outlineLevel="0" collapsed="false">
      <c r="A160" s="44"/>
      <c r="B160" s="44"/>
      <c r="C160" s="63" t="str">
        <f aca="false">IF($B160="","",IFERROR(INDEX('Invoice &amp; Delivery Log'!$B$8:$B$157,MATCH($B160,'Invoice &amp; Delivery Log'!$A$8:$A$157,0)),""))</f>
        <v/>
      </c>
      <c r="D160" s="55" t="str">
        <f aca="false">IF($B160="","",IFERROR(INDEX('Invoice &amp; Delivery Log'!$C$8:$C$157,MATCH($B160,'Invoice &amp; Delivery Log'!$A$8:$A$157,0)),"INVOICE NOT FOUND"))</f>
        <v/>
      </c>
      <c r="E160" s="56"/>
      <c r="F160" s="58"/>
      <c r="G160" s="44"/>
      <c r="H160" s="45"/>
      <c r="I160" s="45"/>
      <c r="J160" s="64" t="str">
        <f aca="false">IF($B160="","",IFERROR(INDEX('Invoice &amp; Delivery Log'!$H$8:$H$157,MATCH($B160,'Invoice &amp; Delivery Log'!$A$8:$A$157,0)),""))</f>
        <v/>
      </c>
      <c r="K160" s="64" t="str">
        <f aca="false">IF($B160="","",IFERROR(INDEX('Invoice &amp; Delivery Log'!$M$8:$M$157,MATCH($B160,'Invoice &amp; Delivery Log'!$A$8:$A$157,0)),""))</f>
        <v/>
      </c>
      <c r="L160" s="47" t="str">
        <f aca="false">IF(OR($E160="",$J160=""),"",$E160-$J160)</f>
        <v/>
      </c>
      <c r="M160" s="47" t="str">
        <f aca="false">IF(OR($E160="",$K160=""),"",$E160-$K160)</f>
        <v/>
      </c>
      <c r="N160" s="36" t="str">
        <f aca="false">IF(OR($E160="",$K160=""),"n/a",IF($E160&lt;=$K160,"On Time","Late"))</f>
        <v>n/a</v>
      </c>
      <c r="O160" s="30" t="str">
        <f aca="false">IF($B160="","",SUMIFS($F$8:$F160,$B$8:$B160,$B160))</f>
        <v/>
      </c>
      <c r="P160" s="30" t="str">
        <f aca="false">IF($B160="","",IFERROR(ROUND(INDEX('Invoice &amp; Delivery Log'!$N$8:$N$157,MATCH($B160,'Invoice &amp; Delivery Log'!$A$8:$A$157,0))-$O160,2),""))</f>
        <v/>
      </c>
      <c r="Q160" s="36" t="str">
        <f aca="false">IF($A160="","",IF($R160="","OK","REVIEW"))</f>
        <v/>
      </c>
      <c r="R160" s="28" t="str">
        <f aca="false">IF($A160="","",TRIM(IF($B160="","Missing invoice ID. ","")&amp;IF(AND($B160&lt;&gt;"",COUNTIFS('Invoice &amp; Delivery Log'!$A$8:$A$157,$B160)=0),"Invoice ID not found in the invoice log. ","")&amp;IF(COUNTIFS('Payments Log'!$A$8:$A$207,$A160)&gt;1,"Duplicate payment ID. ","")&amp;IF(N($F160)&lt;=0,"Payment amount must be greater than zero. ","")&amp;IF($E160="","Missing payment date. ","")&amp;IF(AND($E160&lt;&gt;"",$J160&lt;&gt;"",$E160&lt;$J160),"Payment dated before the invoice date. ","")&amp;IF(AND($E160&lt;&gt;"",$E160&gt;Settings!$C$5),"Payment date is in the future. ","")&amp;IF(ROUND(N($P160),2)&lt;0,"Payment exceeds the invoice balance. ","")&amp;IF($G160="","Missing payment method. ","")))</f>
        <v/>
      </c>
    </row>
    <row r="161" customFormat="false" ht="15" hidden="false" customHeight="true" outlineLevel="0" collapsed="false">
      <c r="A161" s="44"/>
      <c r="B161" s="44"/>
      <c r="C161" s="65" t="str">
        <f aca="false">IF($B161="","",IFERROR(INDEX('Invoice &amp; Delivery Log'!$B$8:$B$157,MATCH($B161,'Invoice &amp; Delivery Log'!$A$8:$A$157,0)),""))</f>
        <v/>
      </c>
      <c r="D161" s="59" t="str">
        <f aca="false">IF($B161="","",IFERROR(INDEX('Invoice &amp; Delivery Log'!$C$8:$C$157,MATCH($B161,'Invoice &amp; Delivery Log'!$A$8:$A$157,0)),"INVOICE NOT FOUND"))</f>
        <v/>
      </c>
      <c r="E161" s="56"/>
      <c r="F161" s="58"/>
      <c r="G161" s="44"/>
      <c r="H161" s="45"/>
      <c r="I161" s="45"/>
      <c r="J161" s="66" t="str">
        <f aca="false">IF($B161="","",IFERROR(INDEX('Invoice &amp; Delivery Log'!$H$8:$H$157,MATCH($B161,'Invoice &amp; Delivery Log'!$A$8:$A$157,0)),""))</f>
        <v/>
      </c>
      <c r="K161" s="66" t="str">
        <f aca="false">IF($B161="","",IFERROR(INDEX('Invoice &amp; Delivery Log'!$M$8:$M$157,MATCH($B161,'Invoice &amp; Delivery Log'!$A$8:$A$157,0)),""))</f>
        <v/>
      </c>
      <c r="L161" s="52" t="str">
        <f aca="false">IF(OR($E161="",$J161=""),"",$E161-$J161)</f>
        <v/>
      </c>
      <c r="M161" s="52" t="str">
        <f aca="false">IF(OR($E161="",$K161=""),"",$E161-$K161)</f>
        <v/>
      </c>
      <c r="N161" s="53" t="str">
        <f aca="false">IF(OR($E161="",$K161=""),"n/a",IF($E161&lt;=$K161,"On Time","Late"))</f>
        <v>n/a</v>
      </c>
      <c r="O161" s="50" t="str">
        <f aca="false">IF($B161="","",SUMIFS($F$8:$F161,$B$8:$B161,$B161))</f>
        <v/>
      </c>
      <c r="P161" s="50" t="str">
        <f aca="false">IF($B161="","",IFERROR(ROUND(INDEX('Invoice &amp; Delivery Log'!$N$8:$N$157,MATCH($B161,'Invoice &amp; Delivery Log'!$A$8:$A$157,0))-$O161,2),""))</f>
        <v/>
      </c>
      <c r="Q161" s="53" t="str">
        <f aca="false">IF($A161="","",IF($R161="","OK","REVIEW"))</f>
        <v/>
      </c>
      <c r="R161" s="62" t="str">
        <f aca="false">IF($A161="","",TRIM(IF($B161="","Missing invoice ID. ","")&amp;IF(AND($B161&lt;&gt;"",COUNTIFS('Invoice &amp; Delivery Log'!$A$8:$A$157,$B161)=0),"Invoice ID not found in the invoice log. ","")&amp;IF(COUNTIFS('Payments Log'!$A$8:$A$207,$A161)&gt;1,"Duplicate payment ID. ","")&amp;IF(N($F161)&lt;=0,"Payment amount must be greater than zero. ","")&amp;IF($E161="","Missing payment date. ","")&amp;IF(AND($E161&lt;&gt;"",$J161&lt;&gt;"",$E161&lt;$J161),"Payment dated before the invoice date. ","")&amp;IF(AND($E161&lt;&gt;"",$E161&gt;Settings!$C$5),"Payment date is in the future. ","")&amp;IF(ROUND(N($P161),2)&lt;0,"Payment exceeds the invoice balance. ","")&amp;IF($G161="","Missing payment method. ","")))</f>
        <v/>
      </c>
    </row>
    <row r="162" customFormat="false" ht="15" hidden="false" customHeight="true" outlineLevel="0" collapsed="false">
      <c r="A162" s="44"/>
      <c r="B162" s="44"/>
      <c r="C162" s="63" t="str">
        <f aca="false">IF($B162="","",IFERROR(INDEX('Invoice &amp; Delivery Log'!$B$8:$B$157,MATCH($B162,'Invoice &amp; Delivery Log'!$A$8:$A$157,0)),""))</f>
        <v/>
      </c>
      <c r="D162" s="55" t="str">
        <f aca="false">IF($B162="","",IFERROR(INDEX('Invoice &amp; Delivery Log'!$C$8:$C$157,MATCH($B162,'Invoice &amp; Delivery Log'!$A$8:$A$157,0)),"INVOICE NOT FOUND"))</f>
        <v/>
      </c>
      <c r="E162" s="56"/>
      <c r="F162" s="58"/>
      <c r="G162" s="44"/>
      <c r="H162" s="45"/>
      <c r="I162" s="45"/>
      <c r="J162" s="64" t="str">
        <f aca="false">IF($B162="","",IFERROR(INDEX('Invoice &amp; Delivery Log'!$H$8:$H$157,MATCH($B162,'Invoice &amp; Delivery Log'!$A$8:$A$157,0)),""))</f>
        <v/>
      </c>
      <c r="K162" s="64" t="str">
        <f aca="false">IF($B162="","",IFERROR(INDEX('Invoice &amp; Delivery Log'!$M$8:$M$157,MATCH($B162,'Invoice &amp; Delivery Log'!$A$8:$A$157,0)),""))</f>
        <v/>
      </c>
      <c r="L162" s="47" t="str">
        <f aca="false">IF(OR($E162="",$J162=""),"",$E162-$J162)</f>
        <v/>
      </c>
      <c r="M162" s="47" t="str">
        <f aca="false">IF(OR($E162="",$K162=""),"",$E162-$K162)</f>
        <v/>
      </c>
      <c r="N162" s="36" t="str">
        <f aca="false">IF(OR($E162="",$K162=""),"n/a",IF($E162&lt;=$K162,"On Time","Late"))</f>
        <v>n/a</v>
      </c>
      <c r="O162" s="30" t="str">
        <f aca="false">IF($B162="","",SUMIFS($F$8:$F162,$B$8:$B162,$B162))</f>
        <v/>
      </c>
      <c r="P162" s="30" t="str">
        <f aca="false">IF($B162="","",IFERROR(ROUND(INDEX('Invoice &amp; Delivery Log'!$N$8:$N$157,MATCH($B162,'Invoice &amp; Delivery Log'!$A$8:$A$157,0))-$O162,2),""))</f>
        <v/>
      </c>
      <c r="Q162" s="36" t="str">
        <f aca="false">IF($A162="","",IF($R162="","OK","REVIEW"))</f>
        <v/>
      </c>
      <c r="R162" s="28" t="str">
        <f aca="false">IF($A162="","",TRIM(IF($B162="","Missing invoice ID. ","")&amp;IF(AND($B162&lt;&gt;"",COUNTIFS('Invoice &amp; Delivery Log'!$A$8:$A$157,$B162)=0),"Invoice ID not found in the invoice log. ","")&amp;IF(COUNTIFS('Payments Log'!$A$8:$A$207,$A162)&gt;1,"Duplicate payment ID. ","")&amp;IF(N($F162)&lt;=0,"Payment amount must be greater than zero. ","")&amp;IF($E162="","Missing payment date. ","")&amp;IF(AND($E162&lt;&gt;"",$J162&lt;&gt;"",$E162&lt;$J162),"Payment dated before the invoice date. ","")&amp;IF(AND($E162&lt;&gt;"",$E162&gt;Settings!$C$5),"Payment date is in the future. ","")&amp;IF(ROUND(N($P162),2)&lt;0,"Payment exceeds the invoice balance. ","")&amp;IF($G162="","Missing payment method. ","")))</f>
        <v/>
      </c>
    </row>
    <row r="163" customFormat="false" ht="15" hidden="false" customHeight="true" outlineLevel="0" collapsed="false">
      <c r="A163" s="44"/>
      <c r="B163" s="44"/>
      <c r="C163" s="65" t="str">
        <f aca="false">IF($B163="","",IFERROR(INDEX('Invoice &amp; Delivery Log'!$B$8:$B$157,MATCH($B163,'Invoice &amp; Delivery Log'!$A$8:$A$157,0)),""))</f>
        <v/>
      </c>
      <c r="D163" s="59" t="str">
        <f aca="false">IF($B163="","",IFERROR(INDEX('Invoice &amp; Delivery Log'!$C$8:$C$157,MATCH($B163,'Invoice &amp; Delivery Log'!$A$8:$A$157,0)),"INVOICE NOT FOUND"))</f>
        <v/>
      </c>
      <c r="E163" s="56"/>
      <c r="F163" s="58"/>
      <c r="G163" s="44"/>
      <c r="H163" s="45"/>
      <c r="I163" s="45"/>
      <c r="J163" s="66" t="str">
        <f aca="false">IF($B163="","",IFERROR(INDEX('Invoice &amp; Delivery Log'!$H$8:$H$157,MATCH($B163,'Invoice &amp; Delivery Log'!$A$8:$A$157,0)),""))</f>
        <v/>
      </c>
      <c r="K163" s="66" t="str">
        <f aca="false">IF($B163="","",IFERROR(INDEX('Invoice &amp; Delivery Log'!$M$8:$M$157,MATCH($B163,'Invoice &amp; Delivery Log'!$A$8:$A$157,0)),""))</f>
        <v/>
      </c>
      <c r="L163" s="52" t="str">
        <f aca="false">IF(OR($E163="",$J163=""),"",$E163-$J163)</f>
        <v/>
      </c>
      <c r="M163" s="52" t="str">
        <f aca="false">IF(OR($E163="",$K163=""),"",$E163-$K163)</f>
        <v/>
      </c>
      <c r="N163" s="53" t="str">
        <f aca="false">IF(OR($E163="",$K163=""),"n/a",IF($E163&lt;=$K163,"On Time","Late"))</f>
        <v>n/a</v>
      </c>
      <c r="O163" s="50" t="str">
        <f aca="false">IF($B163="","",SUMIFS($F$8:$F163,$B$8:$B163,$B163))</f>
        <v/>
      </c>
      <c r="P163" s="50" t="str">
        <f aca="false">IF($B163="","",IFERROR(ROUND(INDEX('Invoice &amp; Delivery Log'!$N$8:$N$157,MATCH($B163,'Invoice &amp; Delivery Log'!$A$8:$A$157,0))-$O163,2),""))</f>
        <v/>
      </c>
      <c r="Q163" s="53" t="str">
        <f aca="false">IF($A163="","",IF($R163="","OK","REVIEW"))</f>
        <v/>
      </c>
      <c r="R163" s="62" t="str">
        <f aca="false">IF($A163="","",TRIM(IF($B163="","Missing invoice ID. ","")&amp;IF(AND($B163&lt;&gt;"",COUNTIFS('Invoice &amp; Delivery Log'!$A$8:$A$157,$B163)=0),"Invoice ID not found in the invoice log. ","")&amp;IF(COUNTIFS('Payments Log'!$A$8:$A$207,$A163)&gt;1,"Duplicate payment ID. ","")&amp;IF(N($F163)&lt;=0,"Payment amount must be greater than zero. ","")&amp;IF($E163="","Missing payment date. ","")&amp;IF(AND($E163&lt;&gt;"",$J163&lt;&gt;"",$E163&lt;$J163),"Payment dated before the invoice date. ","")&amp;IF(AND($E163&lt;&gt;"",$E163&gt;Settings!$C$5),"Payment date is in the future. ","")&amp;IF(ROUND(N($P163),2)&lt;0,"Payment exceeds the invoice balance. ","")&amp;IF($G163="","Missing payment method. ","")))</f>
        <v/>
      </c>
    </row>
    <row r="164" customFormat="false" ht="15" hidden="false" customHeight="true" outlineLevel="0" collapsed="false">
      <c r="A164" s="44"/>
      <c r="B164" s="44"/>
      <c r="C164" s="63" t="str">
        <f aca="false">IF($B164="","",IFERROR(INDEX('Invoice &amp; Delivery Log'!$B$8:$B$157,MATCH($B164,'Invoice &amp; Delivery Log'!$A$8:$A$157,0)),""))</f>
        <v/>
      </c>
      <c r="D164" s="55" t="str">
        <f aca="false">IF($B164="","",IFERROR(INDEX('Invoice &amp; Delivery Log'!$C$8:$C$157,MATCH($B164,'Invoice &amp; Delivery Log'!$A$8:$A$157,0)),"INVOICE NOT FOUND"))</f>
        <v/>
      </c>
      <c r="E164" s="56"/>
      <c r="F164" s="58"/>
      <c r="G164" s="44"/>
      <c r="H164" s="45"/>
      <c r="I164" s="45"/>
      <c r="J164" s="64" t="str">
        <f aca="false">IF($B164="","",IFERROR(INDEX('Invoice &amp; Delivery Log'!$H$8:$H$157,MATCH($B164,'Invoice &amp; Delivery Log'!$A$8:$A$157,0)),""))</f>
        <v/>
      </c>
      <c r="K164" s="64" t="str">
        <f aca="false">IF($B164="","",IFERROR(INDEX('Invoice &amp; Delivery Log'!$M$8:$M$157,MATCH($B164,'Invoice &amp; Delivery Log'!$A$8:$A$157,0)),""))</f>
        <v/>
      </c>
      <c r="L164" s="47" t="str">
        <f aca="false">IF(OR($E164="",$J164=""),"",$E164-$J164)</f>
        <v/>
      </c>
      <c r="M164" s="47" t="str">
        <f aca="false">IF(OR($E164="",$K164=""),"",$E164-$K164)</f>
        <v/>
      </c>
      <c r="N164" s="36" t="str">
        <f aca="false">IF(OR($E164="",$K164=""),"n/a",IF($E164&lt;=$K164,"On Time","Late"))</f>
        <v>n/a</v>
      </c>
      <c r="O164" s="30" t="str">
        <f aca="false">IF($B164="","",SUMIFS($F$8:$F164,$B$8:$B164,$B164))</f>
        <v/>
      </c>
      <c r="P164" s="30" t="str">
        <f aca="false">IF($B164="","",IFERROR(ROUND(INDEX('Invoice &amp; Delivery Log'!$N$8:$N$157,MATCH($B164,'Invoice &amp; Delivery Log'!$A$8:$A$157,0))-$O164,2),""))</f>
        <v/>
      </c>
      <c r="Q164" s="36" t="str">
        <f aca="false">IF($A164="","",IF($R164="","OK","REVIEW"))</f>
        <v/>
      </c>
      <c r="R164" s="28" t="str">
        <f aca="false">IF($A164="","",TRIM(IF($B164="","Missing invoice ID. ","")&amp;IF(AND($B164&lt;&gt;"",COUNTIFS('Invoice &amp; Delivery Log'!$A$8:$A$157,$B164)=0),"Invoice ID not found in the invoice log. ","")&amp;IF(COUNTIFS('Payments Log'!$A$8:$A$207,$A164)&gt;1,"Duplicate payment ID. ","")&amp;IF(N($F164)&lt;=0,"Payment amount must be greater than zero. ","")&amp;IF($E164="","Missing payment date. ","")&amp;IF(AND($E164&lt;&gt;"",$J164&lt;&gt;"",$E164&lt;$J164),"Payment dated before the invoice date. ","")&amp;IF(AND($E164&lt;&gt;"",$E164&gt;Settings!$C$5),"Payment date is in the future. ","")&amp;IF(ROUND(N($P164),2)&lt;0,"Payment exceeds the invoice balance. ","")&amp;IF($G164="","Missing payment method. ","")))</f>
        <v/>
      </c>
    </row>
    <row r="165" customFormat="false" ht="15" hidden="false" customHeight="true" outlineLevel="0" collapsed="false">
      <c r="A165" s="44"/>
      <c r="B165" s="44"/>
      <c r="C165" s="65" t="str">
        <f aca="false">IF($B165="","",IFERROR(INDEX('Invoice &amp; Delivery Log'!$B$8:$B$157,MATCH($B165,'Invoice &amp; Delivery Log'!$A$8:$A$157,0)),""))</f>
        <v/>
      </c>
      <c r="D165" s="59" t="str">
        <f aca="false">IF($B165="","",IFERROR(INDEX('Invoice &amp; Delivery Log'!$C$8:$C$157,MATCH($B165,'Invoice &amp; Delivery Log'!$A$8:$A$157,0)),"INVOICE NOT FOUND"))</f>
        <v/>
      </c>
      <c r="E165" s="56"/>
      <c r="F165" s="58"/>
      <c r="G165" s="44"/>
      <c r="H165" s="45"/>
      <c r="I165" s="45"/>
      <c r="J165" s="66" t="str">
        <f aca="false">IF($B165="","",IFERROR(INDEX('Invoice &amp; Delivery Log'!$H$8:$H$157,MATCH($B165,'Invoice &amp; Delivery Log'!$A$8:$A$157,0)),""))</f>
        <v/>
      </c>
      <c r="K165" s="66" t="str">
        <f aca="false">IF($B165="","",IFERROR(INDEX('Invoice &amp; Delivery Log'!$M$8:$M$157,MATCH($B165,'Invoice &amp; Delivery Log'!$A$8:$A$157,0)),""))</f>
        <v/>
      </c>
      <c r="L165" s="52" t="str">
        <f aca="false">IF(OR($E165="",$J165=""),"",$E165-$J165)</f>
        <v/>
      </c>
      <c r="M165" s="52" t="str">
        <f aca="false">IF(OR($E165="",$K165=""),"",$E165-$K165)</f>
        <v/>
      </c>
      <c r="N165" s="53" t="str">
        <f aca="false">IF(OR($E165="",$K165=""),"n/a",IF($E165&lt;=$K165,"On Time","Late"))</f>
        <v>n/a</v>
      </c>
      <c r="O165" s="50" t="str">
        <f aca="false">IF($B165="","",SUMIFS($F$8:$F165,$B$8:$B165,$B165))</f>
        <v/>
      </c>
      <c r="P165" s="50" t="str">
        <f aca="false">IF($B165="","",IFERROR(ROUND(INDEX('Invoice &amp; Delivery Log'!$N$8:$N$157,MATCH($B165,'Invoice &amp; Delivery Log'!$A$8:$A$157,0))-$O165,2),""))</f>
        <v/>
      </c>
      <c r="Q165" s="53" t="str">
        <f aca="false">IF($A165="","",IF($R165="","OK","REVIEW"))</f>
        <v/>
      </c>
      <c r="R165" s="62" t="str">
        <f aca="false">IF($A165="","",TRIM(IF($B165="","Missing invoice ID. ","")&amp;IF(AND($B165&lt;&gt;"",COUNTIFS('Invoice &amp; Delivery Log'!$A$8:$A$157,$B165)=0),"Invoice ID not found in the invoice log. ","")&amp;IF(COUNTIFS('Payments Log'!$A$8:$A$207,$A165)&gt;1,"Duplicate payment ID. ","")&amp;IF(N($F165)&lt;=0,"Payment amount must be greater than zero. ","")&amp;IF($E165="","Missing payment date. ","")&amp;IF(AND($E165&lt;&gt;"",$J165&lt;&gt;"",$E165&lt;$J165),"Payment dated before the invoice date. ","")&amp;IF(AND($E165&lt;&gt;"",$E165&gt;Settings!$C$5),"Payment date is in the future. ","")&amp;IF(ROUND(N($P165),2)&lt;0,"Payment exceeds the invoice balance. ","")&amp;IF($G165="","Missing payment method. ","")))</f>
        <v/>
      </c>
    </row>
    <row r="166" customFormat="false" ht="15" hidden="false" customHeight="true" outlineLevel="0" collapsed="false">
      <c r="A166" s="44"/>
      <c r="B166" s="44"/>
      <c r="C166" s="63" t="str">
        <f aca="false">IF($B166="","",IFERROR(INDEX('Invoice &amp; Delivery Log'!$B$8:$B$157,MATCH($B166,'Invoice &amp; Delivery Log'!$A$8:$A$157,0)),""))</f>
        <v/>
      </c>
      <c r="D166" s="55" t="str">
        <f aca="false">IF($B166="","",IFERROR(INDEX('Invoice &amp; Delivery Log'!$C$8:$C$157,MATCH($B166,'Invoice &amp; Delivery Log'!$A$8:$A$157,0)),"INVOICE NOT FOUND"))</f>
        <v/>
      </c>
      <c r="E166" s="56"/>
      <c r="F166" s="58"/>
      <c r="G166" s="44"/>
      <c r="H166" s="45"/>
      <c r="I166" s="45"/>
      <c r="J166" s="64" t="str">
        <f aca="false">IF($B166="","",IFERROR(INDEX('Invoice &amp; Delivery Log'!$H$8:$H$157,MATCH($B166,'Invoice &amp; Delivery Log'!$A$8:$A$157,0)),""))</f>
        <v/>
      </c>
      <c r="K166" s="64" t="str">
        <f aca="false">IF($B166="","",IFERROR(INDEX('Invoice &amp; Delivery Log'!$M$8:$M$157,MATCH($B166,'Invoice &amp; Delivery Log'!$A$8:$A$157,0)),""))</f>
        <v/>
      </c>
      <c r="L166" s="47" t="str">
        <f aca="false">IF(OR($E166="",$J166=""),"",$E166-$J166)</f>
        <v/>
      </c>
      <c r="M166" s="47" t="str">
        <f aca="false">IF(OR($E166="",$K166=""),"",$E166-$K166)</f>
        <v/>
      </c>
      <c r="N166" s="36" t="str">
        <f aca="false">IF(OR($E166="",$K166=""),"n/a",IF($E166&lt;=$K166,"On Time","Late"))</f>
        <v>n/a</v>
      </c>
      <c r="O166" s="30" t="str">
        <f aca="false">IF($B166="","",SUMIFS($F$8:$F166,$B$8:$B166,$B166))</f>
        <v/>
      </c>
      <c r="P166" s="30" t="str">
        <f aca="false">IF($B166="","",IFERROR(ROUND(INDEX('Invoice &amp; Delivery Log'!$N$8:$N$157,MATCH($B166,'Invoice &amp; Delivery Log'!$A$8:$A$157,0))-$O166,2),""))</f>
        <v/>
      </c>
      <c r="Q166" s="36" t="str">
        <f aca="false">IF($A166="","",IF($R166="","OK","REVIEW"))</f>
        <v/>
      </c>
      <c r="R166" s="28" t="str">
        <f aca="false">IF($A166="","",TRIM(IF($B166="","Missing invoice ID. ","")&amp;IF(AND($B166&lt;&gt;"",COUNTIFS('Invoice &amp; Delivery Log'!$A$8:$A$157,$B166)=0),"Invoice ID not found in the invoice log. ","")&amp;IF(COUNTIFS('Payments Log'!$A$8:$A$207,$A166)&gt;1,"Duplicate payment ID. ","")&amp;IF(N($F166)&lt;=0,"Payment amount must be greater than zero. ","")&amp;IF($E166="","Missing payment date. ","")&amp;IF(AND($E166&lt;&gt;"",$J166&lt;&gt;"",$E166&lt;$J166),"Payment dated before the invoice date. ","")&amp;IF(AND($E166&lt;&gt;"",$E166&gt;Settings!$C$5),"Payment date is in the future. ","")&amp;IF(ROUND(N($P166),2)&lt;0,"Payment exceeds the invoice balance. ","")&amp;IF($G166="","Missing payment method. ","")))</f>
        <v/>
      </c>
    </row>
    <row r="167" customFormat="false" ht="15" hidden="false" customHeight="true" outlineLevel="0" collapsed="false">
      <c r="A167" s="44"/>
      <c r="B167" s="44"/>
      <c r="C167" s="65" t="str">
        <f aca="false">IF($B167="","",IFERROR(INDEX('Invoice &amp; Delivery Log'!$B$8:$B$157,MATCH($B167,'Invoice &amp; Delivery Log'!$A$8:$A$157,0)),""))</f>
        <v/>
      </c>
      <c r="D167" s="59" t="str">
        <f aca="false">IF($B167="","",IFERROR(INDEX('Invoice &amp; Delivery Log'!$C$8:$C$157,MATCH($B167,'Invoice &amp; Delivery Log'!$A$8:$A$157,0)),"INVOICE NOT FOUND"))</f>
        <v/>
      </c>
      <c r="E167" s="56"/>
      <c r="F167" s="58"/>
      <c r="G167" s="44"/>
      <c r="H167" s="45"/>
      <c r="I167" s="45"/>
      <c r="J167" s="66" t="str">
        <f aca="false">IF($B167="","",IFERROR(INDEX('Invoice &amp; Delivery Log'!$H$8:$H$157,MATCH($B167,'Invoice &amp; Delivery Log'!$A$8:$A$157,0)),""))</f>
        <v/>
      </c>
      <c r="K167" s="66" t="str">
        <f aca="false">IF($B167="","",IFERROR(INDEX('Invoice &amp; Delivery Log'!$M$8:$M$157,MATCH($B167,'Invoice &amp; Delivery Log'!$A$8:$A$157,0)),""))</f>
        <v/>
      </c>
      <c r="L167" s="52" t="str">
        <f aca="false">IF(OR($E167="",$J167=""),"",$E167-$J167)</f>
        <v/>
      </c>
      <c r="M167" s="52" t="str">
        <f aca="false">IF(OR($E167="",$K167=""),"",$E167-$K167)</f>
        <v/>
      </c>
      <c r="N167" s="53" t="str">
        <f aca="false">IF(OR($E167="",$K167=""),"n/a",IF($E167&lt;=$K167,"On Time","Late"))</f>
        <v>n/a</v>
      </c>
      <c r="O167" s="50" t="str">
        <f aca="false">IF($B167="","",SUMIFS($F$8:$F167,$B$8:$B167,$B167))</f>
        <v/>
      </c>
      <c r="P167" s="50" t="str">
        <f aca="false">IF($B167="","",IFERROR(ROUND(INDEX('Invoice &amp; Delivery Log'!$N$8:$N$157,MATCH($B167,'Invoice &amp; Delivery Log'!$A$8:$A$157,0))-$O167,2),""))</f>
        <v/>
      </c>
      <c r="Q167" s="53" t="str">
        <f aca="false">IF($A167="","",IF($R167="","OK","REVIEW"))</f>
        <v/>
      </c>
      <c r="R167" s="62" t="str">
        <f aca="false">IF($A167="","",TRIM(IF($B167="","Missing invoice ID. ","")&amp;IF(AND($B167&lt;&gt;"",COUNTIFS('Invoice &amp; Delivery Log'!$A$8:$A$157,$B167)=0),"Invoice ID not found in the invoice log. ","")&amp;IF(COUNTIFS('Payments Log'!$A$8:$A$207,$A167)&gt;1,"Duplicate payment ID. ","")&amp;IF(N($F167)&lt;=0,"Payment amount must be greater than zero. ","")&amp;IF($E167="","Missing payment date. ","")&amp;IF(AND($E167&lt;&gt;"",$J167&lt;&gt;"",$E167&lt;$J167),"Payment dated before the invoice date. ","")&amp;IF(AND($E167&lt;&gt;"",$E167&gt;Settings!$C$5),"Payment date is in the future. ","")&amp;IF(ROUND(N($P167),2)&lt;0,"Payment exceeds the invoice balance. ","")&amp;IF($G167="","Missing payment method. ","")))</f>
        <v/>
      </c>
    </row>
    <row r="168" customFormat="false" ht="15" hidden="false" customHeight="true" outlineLevel="0" collapsed="false">
      <c r="A168" s="44"/>
      <c r="B168" s="44"/>
      <c r="C168" s="63" t="str">
        <f aca="false">IF($B168="","",IFERROR(INDEX('Invoice &amp; Delivery Log'!$B$8:$B$157,MATCH($B168,'Invoice &amp; Delivery Log'!$A$8:$A$157,0)),""))</f>
        <v/>
      </c>
      <c r="D168" s="55" t="str">
        <f aca="false">IF($B168="","",IFERROR(INDEX('Invoice &amp; Delivery Log'!$C$8:$C$157,MATCH($B168,'Invoice &amp; Delivery Log'!$A$8:$A$157,0)),"INVOICE NOT FOUND"))</f>
        <v/>
      </c>
      <c r="E168" s="56"/>
      <c r="F168" s="58"/>
      <c r="G168" s="44"/>
      <c r="H168" s="45"/>
      <c r="I168" s="45"/>
      <c r="J168" s="64" t="str">
        <f aca="false">IF($B168="","",IFERROR(INDEX('Invoice &amp; Delivery Log'!$H$8:$H$157,MATCH($B168,'Invoice &amp; Delivery Log'!$A$8:$A$157,0)),""))</f>
        <v/>
      </c>
      <c r="K168" s="64" t="str">
        <f aca="false">IF($B168="","",IFERROR(INDEX('Invoice &amp; Delivery Log'!$M$8:$M$157,MATCH($B168,'Invoice &amp; Delivery Log'!$A$8:$A$157,0)),""))</f>
        <v/>
      </c>
      <c r="L168" s="47" t="str">
        <f aca="false">IF(OR($E168="",$J168=""),"",$E168-$J168)</f>
        <v/>
      </c>
      <c r="M168" s="47" t="str">
        <f aca="false">IF(OR($E168="",$K168=""),"",$E168-$K168)</f>
        <v/>
      </c>
      <c r="N168" s="36" t="str">
        <f aca="false">IF(OR($E168="",$K168=""),"n/a",IF($E168&lt;=$K168,"On Time","Late"))</f>
        <v>n/a</v>
      </c>
      <c r="O168" s="30" t="str">
        <f aca="false">IF($B168="","",SUMIFS($F$8:$F168,$B$8:$B168,$B168))</f>
        <v/>
      </c>
      <c r="P168" s="30" t="str">
        <f aca="false">IF($B168="","",IFERROR(ROUND(INDEX('Invoice &amp; Delivery Log'!$N$8:$N$157,MATCH($B168,'Invoice &amp; Delivery Log'!$A$8:$A$157,0))-$O168,2),""))</f>
        <v/>
      </c>
      <c r="Q168" s="36" t="str">
        <f aca="false">IF($A168="","",IF($R168="","OK","REVIEW"))</f>
        <v/>
      </c>
      <c r="R168" s="28" t="str">
        <f aca="false">IF($A168="","",TRIM(IF($B168="","Missing invoice ID. ","")&amp;IF(AND($B168&lt;&gt;"",COUNTIFS('Invoice &amp; Delivery Log'!$A$8:$A$157,$B168)=0),"Invoice ID not found in the invoice log. ","")&amp;IF(COUNTIFS('Payments Log'!$A$8:$A$207,$A168)&gt;1,"Duplicate payment ID. ","")&amp;IF(N($F168)&lt;=0,"Payment amount must be greater than zero. ","")&amp;IF($E168="","Missing payment date. ","")&amp;IF(AND($E168&lt;&gt;"",$J168&lt;&gt;"",$E168&lt;$J168),"Payment dated before the invoice date. ","")&amp;IF(AND($E168&lt;&gt;"",$E168&gt;Settings!$C$5),"Payment date is in the future. ","")&amp;IF(ROUND(N($P168),2)&lt;0,"Payment exceeds the invoice balance. ","")&amp;IF($G168="","Missing payment method. ","")))</f>
        <v/>
      </c>
    </row>
    <row r="169" customFormat="false" ht="15" hidden="false" customHeight="true" outlineLevel="0" collapsed="false">
      <c r="A169" s="44"/>
      <c r="B169" s="44"/>
      <c r="C169" s="65" t="str">
        <f aca="false">IF($B169="","",IFERROR(INDEX('Invoice &amp; Delivery Log'!$B$8:$B$157,MATCH($B169,'Invoice &amp; Delivery Log'!$A$8:$A$157,0)),""))</f>
        <v/>
      </c>
      <c r="D169" s="59" t="str">
        <f aca="false">IF($B169="","",IFERROR(INDEX('Invoice &amp; Delivery Log'!$C$8:$C$157,MATCH($B169,'Invoice &amp; Delivery Log'!$A$8:$A$157,0)),"INVOICE NOT FOUND"))</f>
        <v/>
      </c>
      <c r="E169" s="56"/>
      <c r="F169" s="58"/>
      <c r="G169" s="44"/>
      <c r="H169" s="45"/>
      <c r="I169" s="45"/>
      <c r="J169" s="66" t="str">
        <f aca="false">IF($B169="","",IFERROR(INDEX('Invoice &amp; Delivery Log'!$H$8:$H$157,MATCH($B169,'Invoice &amp; Delivery Log'!$A$8:$A$157,0)),""))</f>
        <v/>
      </c>
      <c r="K169" s="66" t="str">
        <f aca="false">IF($B169="","",IFERROR(INDEX('Invoice &amp; Delivery Log'!$M$8:$M$157,MATCH($B169,'Invoice &amp; Delivery Log'!$A$8:$A$157,0)),""))</f>
        <v/>
      </c>
      <c r="L169" s="52" t="str">
        <f aca="false">IF(OR($E169="",$J169=""),"",$E169-$J169)</f>
        <v/>
      </c>
      <c r="M169" s="52" t="str">
        <f aca="false">IF(OR($E169="",$K169=""),"",$E169-$K169)</f>
        <v/>
      </c>
      <c r="N169" s="53" t="str">
        <f aca="false">IF(OR($E169="",$K169=""),"n/a",IF($E169&lt;=$K169,"On Time","Late"))</f>
        <v>n/a</v>
      </c>
      <c r="O169" s="50" t="str">
        <f aca="false">IF($B169="","",SUMIFS($F$8:$F169,$B$8:$B169,$B169))</f>
        <v/>
      </c>
      <c r="P169" s="50" t="str">
        <f aca="false">IF($B169="","",IFERROR(ROUND(INDEX('Invoice &amp; Delivery Log'!$N$8:$N$157,MATCH($B169,'Invoice &amp; Delivery Log'!$A$8:$A$157,0))-$O169,2),""))</f>
        <v/>
      </c>
      <c r="Q169" s="53" t="str">
        <f aca="false">IF($A169="","",IF($R169="","OK","REVIEW"))</f>
        <v/>
      </c>
      <c r="R169" s="62" t="str">
        <f aca="false">IF($A169="","",TRIM(IF($B169="","Missing invoice ID. ","")&amp;IF(AND($B169&lt;&gt;"",COUNTIFS('Invoice &amp; Delivery Log'!$A$8:$A$157,$B169)=0),"Invoice ID not found in the invoice log. ","")&amp;IF(COUNTIFS('Payments Log'!$A$8:$A$207,$A169)&gt;1,"Duplicate payment ID. ","")&amp;IF(N($F169)&lt;=0,"Payment amount must be greater than zero. ","")&amp;IF($E169="","Missing payment date. ","")&amp;IF(AND($E169&lt;&gt;"",$J169&lt;&gt;"",$E169&lt;$J169),"Payment dated before the invoice date. ","")&amp;IF(AND($E169&lt;&gt;"",$E169&gt;Settings!$C$5),"Payment date is in the future. ","")&amp;IF(ROUND(N($P169),2)&lt;0,"Payment exceeds the invoice balance. ","")&amp;IF($G169="","Missing payment method. ","")))</f>
        <v/>
      </c>
    </row>
    <row r="170" customFormat="false" ht="15" hidden="false" customHeight="true" outlineLevel="0" collapsed="false">
      <c r="A170" s="44"/>
      <c r="B170" s="44"/>
      <c r="C170" s="63" t="str">
        <f aca="false">IF($B170="","",IFERROR(INDEX('Invoice &amp; Delivery Log'!$B$8:$B$157,MATCH($B170,'Invoice &amp; Delivery Log'!$A$8:$A$157,0)),""))</f>
        <v/>
      </c>
      <c r="D170" s="55" t="str">
        <f aca="false">IF($B170="","",IFERROR(INDEX('Invoice &amp; Delivery Log'!$C$8:$C$157,MATCH($B170,'Invoice &amp; Delivery Log'!$A$8:$A$157,0)),"INVOICE NOT FOUND"))</f>
        <v/>
      </c>
      <c r="E170" s="56"/>
      <c r="F170" s="58"/>
      <c r="G170" s="44"/>
      <c r="H170" s="45"/>
      <c r="I170" s="45"/>
      <c r="J170" s="64" t="str">
        <f aca="false">IF($B170="","",IFERROR(INDEX('Invoice &amp; Delivery Log'!$H$8:$H$157,MATCH($B170,'Invoice &amp; Delivery Log'!$A$8:$A$157,0)),""))</f>
        <v/>
      </c>
      <c r="K170" s="64" t="str">
        <f aca="false">IF($B170="","",IFERROR(INDEX('Invoice &amp; Delivery Log'!$M$8:$M$157,MATCH($B170,'Invoice &amp; Delivery Log'!$A$8:$A$157,0)),""))</f>
        <v/>
      </c>
      <c r="L170" s="47" t="str">
        <f aca="false">IF(OR($E170="",$J170=""),"",$E170-$J170)</f>
        <v/>
      </c>
      <c r="M170" s="47" t="str">
        <f aca="false">IF(OR($E170="",$K170=""),"",$E170-$K170)</f>
        <v/>
      </c>
      <c r="N170" s="36" t="str">
        <f aca="false">IF(OR($E170="",$K170=""),"n/a",IF($E170&lt;=$K170,"On Time","Late"))</f>
        <v>n/a</v>
      </c>
      <c r="O170" s="30" t="str">
        <f aca="false">IF($B170="","",SUMIFS($F$8:$F170,$B$8:$B170,$B170))</f>
        <v/>
      </c>
      <c r="P170" s="30" t="str">
        <f aca="false">IF($B170="","",IFERROR(ROUND(INDEX('Invoice &amp; Delivery Log'!$N$8:$N$157,MATCH($B170,'Invoice &amp; Delivery Log'!$A$8:$A$157,0))-$O170,2),""))</f>
        <v/>
      </c>
      <c r="Q170" s="36" t="str">
        <f aca="false">IF($A170="","",IF($R170="","OK","REVIEW"))</f>
        <v/>
      </c>
      <c r="R170" s="28" t="str">
        <f aca="false">IF($A170="","",TRIM(IF($B170="","Missing invoice ID. ","")&amp;IF(AND($B170&lt;&gt;"",COUNTIFS('Invoice &amp; Delivery Log'!$A$8:$A$157,$B170)=0),"Invoice ID not found in the invoice log. ","")&amp;IF(COUNTIFS('Payments Log'!$A$8:$A$207,$A170)&gt;1,"Duplicate payment ID. ","")&amp;IF(N($F170)&lt;=0,"Payment amount must be greater than zero. ","")&amp;IF($E170="","Missing payment date. ","")&amp;IF(AND($E170&lt;&gt;"",$J170&lt;&gt;"",$E170&lt;$J170),"Payment dated before the invoice date. ","")&amp;IF(AND($E170&lt;&gt;"",$E170&gt;Settings!$C$5),"Payment date is in the future. ","")&amp;IF(ROUND(N($P170),2)&lt;0,"Payment exceeds the invoice balance. ","")&amp;IF($G170="","Missing payment method. ","")))</f>
        <v/>
      </c>
    </row>
    <row r="171" customFormat="false" ht="15" hidden="false" customHeight="true" outlineLevel="0" collapsed="false">
      <c r="A171" s="44"/>
      <c r="B171" s="44"/>
      <c r="C171" s="65" t="str">
        <f aca="false">IF($B171="","",IFERROR(INDEX('Invoice &amp; Delivery Log'!$B$8:$B$157,MATCH($B171,'Invoice &amp; Delivery Log'!$A$8:$A$157,0)),""))</f>
        <v/>
      </c>
      <c r="D171" s="59" t="str">
        <f aca="false">IF($B171="","",IFERROR(INDEX('Invoice &amp; Delivery Log'!$C$8:$C$157,MATCH($B171,'Invoice &amp; Delivery Log'!$A$8:$A$157,0)),"INVOICE NOT FOUND"))</f>
        <v/>
      </c>
      <c r="E171" s="56"/>
      <c r="F171" s="58"/>
      <c r="G171" s="44"/>
      <c r="H171" s="45"/>
      <c r="I171" s="45"/>
      <c r="J171" s="66" t="str">
        <f aca="false">IF($B171="","",IFERROR(INDEX('Invoice &amp; Delivery Log'!$H$8:$H$157,MATCH($B171,'Invoice &amp; Delivery Log'!$A$8:$A$157,0)),""))</f>
        <v/>
      </c>
      <c r="K171" s="66" t="str">
        <f aca="false">IF($B171="","",IFERROR(INDEX('Invoice &amp; Delivery Log'!$M$8:$M$157,MATCH($B171,'Invoice &amp; Delivery Log'!$A$8:$A$157,0)),""))</f>
        <v/>
      </c>
      <c r="L171" s="52" t="str">
        <f aca="false">IF(OR($E171="",$J171=""),"",$E171-$J171)</f>
        <v/>
      </c>
      <c r="M171" s="52" t="str">
        <f aca="false">IF(OR($E171="",$K171=""),"",$E171-$K171)</f>
        <v/>
      </c>
      <c r="N171" s="53" t="str">
        <f aca="false">IF(OR($E171="",$K171=""),"n/a",IF($E171&lt;=$K171,"On Time","Late"))</f>
        <v>n/a</v>
      </c>
      <c r="O171" s="50" t="str">
        <f aca="false">IF($B171="","",SUMIFS($F$8:$F171,$B$8:$B171,$B171))</f>
        <v/>
      </c>
      <c r="P171" s="50" t="str">
        <f aca="false">IF($B171="","",IFERROR(ROUND(INDEX('Invoice &amp; Delivery Log'!$N$8:$N$157,MATCH($B171,'Invoice &amp; Delivery Log'!$A$8:$A$157,0))-$O171,2),""))</f>
        <v/>
      </c>
      <c r="Q171" s="53" t="str">
        <f aca="false">IF($A171="","",IF($R171="","OK","REVIEW"))</f>
        <v/>
      </c>
      <c r="R171" s="62" t="str">
        <f aca="false">IF($A171="","",TRIM(IF($B171="","Missing invoice ID. ","")&amp;IF(AND($B171&lt;&gt;"",COUNTIFS('Invoice &amp; Delivery Log'!$A$8:$A$157,$B171)=0),"Invoice ID not found in the invoice log. ","")&amp;IF(COUNTIFS('Payments Log'!$A$8:$A$207,$A171)&gt;1,"Duplicate payment ID. ","")&amp;IF(N($F171)&lt;=0,"Payment amount must be greater than zero. ","")&amp;IF($E171="","Missing payment date. ","")&amp;IF(AND($E171&lt;&gt;"",$J171&lt;&gt;"",$E171&lt;$J171),"Payment dated before the invoice date. ","")&amp;IF(AND($E171&lt;&gt;"",$E171&gt;Settings!$C$5),"Payment date is in the future. ","")&amp;IF(ROUND(N($P171),2)&lt;0,"Payment exceeds the invoice balance. ","")&amp;IF($G171="","Missing payment method. ","")))</f>
        <v/>
      </c>
    </row>
    <row r="172" customFormat="false" ht="15" hidden="false" customHeight="true" outlineLevel="0" collapsed="false">
      <c r="A172" s="44"/>
      <c r="B172" s="44"/>
      <c r="C172" s="63" t="str">
        <f aca="false">IF($B172="","",IFERROR(INDEX('Invoice &amp; Delivery Log'!$B$8:$B$157,MATCH($B172,'Invoice &amp; Delivery Log'!$A$8:$A$157,0)),""))</f>
        <v/>
      </c>
      <c r="D172" s="55" t="str">
        <f aca="false">IF($B172="","",IFERROR(INDEX('Invoice &amp; Delivery Log'!$C$8:$C$157,MATCH($B172,'Invoice &amp; Delivery Log'!$A$8:$A$157,0)),"INVOICE NOT FOUND"))</f>
        <v/>
      </c>
      <c r="E172" s="56"/>
      <c r="F172" s="58"/>
      <c r="G172" s="44"/>
      <c r="H172" s="45"/>
      <c r="I172" s="45"/>
      <c r="J172" s="64" t="str">
        <f aca="false">IF($B172="","",IFERROR(INDEX('Invoice &amp; Delivery Log'!$H$8:$H$157,MATCH($B172,'Invoice &amp; Delivery Log'!$A$8:$A$157,0)),""))</f>
        <v/>
      </c>
      <c r="K172" s="64" t="str">
        <f aca="false">IF($B172="","",IFERROR(INDEX('Invoice &amp; Delivery Log'!$M$8:$M$157,MATCH($B172,'Invoice &amp; Delivery Log'!$A$8:$A$157,0)),""))</f>
        <v/>
      </c>
      <c r="L172" s="47" t="str">
        <f aca="false">IF(OR($E172="",$J172=""),"",$E172-$J172)</f>
        <v/>
      </c>
      <c r="M172" s="47" t="str">
        <f aca="false">IF(OR($E172="",$K172=""),"",$E172-$K172)</f>
        <v/>
      </c>
      <c r="N172" s="36" t="str">
        <f aca="false">IF(OR($E172="",$K172=""),"n/a",IF($E172&lt;=$K172,"On Time","Late"))</f>
        <v>n/a</v>
      </c>
      <c r="O172" s="30" t="str">
        <f aca="false">IF($B172="","",SUMIFS($F$8:$F172,$B$8:$B172,$B172))</f>
        <v/>
      </c>
      <c r="P172" s="30" t="str">
        <f aca="false">IF($B172="","",IFERROR(ROUND(INDEX('Invoice &amp; Delivery Log'!$N$8:$N$157,MATCH($B172,'Invoice &amp; Delivery Log'!$A$8:$A$157,0))-$O172,2),""))</f>
        <v/>
      </c>
      <c r="Q172" s="36" t="str">
        <f aca="false">IF($A172="","",IF($R172="","OK","REVIEW"))</f>
        <v/>
      </c>
      <c r="R172" s="28" t="str">
        <f aca="false">IF($A172="","",TRIM(IF($B172="","Missing invoice ID. ","")&amp;IF(AND($B172&lt;&gt;"",COUNTIFS('Invoice &amp; Delivery Log'!$A$8:$A$157,$B172)=0),"Invoice ID not found in the invoice log. ","")&amp;IF(COUNTIFS('Payments Log'!$A$8:$A$207,$A172)&gt;1,"Duplicate payment ID. ","")&amp;IF(N($F172)&lt;=0,"Payment amount must be greater than zero. ","")&amp;IF($E172="","Missing payment date. ","")&amp;IF(AND($E172&lt;&gt;"",$J172&lt;&gt;"",$E172&lt;$J172),"Payment dated before the invoice date. ","")&amp;IF(AND($E172&lt;&gt;"",$E172&gt;Settings!$C$5),"Payment date is in the future. ","")&amp;IF(ROUND(N($P172),2)&lt;0,"Payment exceeds the invoice balance. ","")&amp;IF($G172="","Missing payment method. ","")))</f>
        <v/>
      </c>
    </row>
    <row r="173" customFormat="false" ht="15" hidden="false" customHeight="true" outlineLevel="0" collapsed="false">
      <c r="A173" s="44"/>
      <c r="B173" s="44"/>
      <c r="C173" s="65" t="str">
        <f aca="false">IF($B173="","",IFERROR(INDEX('Invoice &amp; Delivery Log'!$B$8:$B$157,MATCH($B173,'Invoice &amp; Delivery Log'!$A$8:$A$157,0)),""))</f>
        <v/>
      </c>
      <c r="D173" s="59" t="str">
        <f aca="false">IF($B173="","",IFERROR(INDEX('Invoice &amp; Delivery Log'!$C$8:$C$157,MATCH($B173,'Invoice &amp; Delivery Log'!$A$8:$A$157,0)),"INVOICE NOT FOUND"))</f>
        <v/>
      </c>
      <c r="E173" s="56"/>
      <c r="F173" s="58"/>
      <c r="G173" s="44"/>
      <c r="H173" s="45"/>
      <c r="I173" s="45"/>
      <c r="J173" s="66" t="str">
        <f aca="false">IF($B173="","",IFERROR(INDEX('Invoice &amp; Delivery Log'!$H$8:$H$157,MATCH($B173,'Invoice &amp; Delivery Log'!$A$8:$A$157,0)),""))</f>
        <v/>
      </c>
      <c r="K173" s="66" t="str">
        <f aca="false">IF($B173="","",IFERROR(INDEX('Invoice &amp; Delivery Log'!$M$8:$M$157,MATCH($B173,'Invoice &amp; Delivery Log'!$A$8:$A$157,0)),""))</f>
        <v/>
      </c>
      <c r="L173" s="52" t="str">
        <f aca="false">IF(OR($E173="",$J173=""),"",$E173-$J173)</f>
        <v/>
      </c>
      <c r="M173" s="52" t="str">
        <f aca="false">IF(OR($E173="",$K173=""),"",$E173-$K173)</f>
        <v/>
      </c>
      <c r="N173" s="53" t="str">
        <f aca="false">IF(OR($E173="",$K173=""),"n/a",IF($E173&lt;=$K173,"On Time","Late"))</f>
        <v>n/a</v>
      </c>
      <c r="O173" s="50" t="str">
        <f aca="false">IF($B173="","",SUMIFS($F$8:$F173,$B$8:$B173,$B173))</f>
        <v/>
      </c>
      <c r="P173" s="50" t="str">
        <f aca="false">IF($B173="","",IFERROR(ROUND(INDEX('Invoice &amp; Delivery Log'!$N$8:$N$157,MATCH($B173,'Invoice &amp; Delivery Log'!$A$8:$A$157,0))-$O173,2),""))</f>
        <v/>
      </c>
      <c r="Q173" s="53" t="str">
        <f aca="false">IF($A173="","",IF($R173="","OK","REVIEW"))</f>
        <v/>
      </c>
      <c r="R173" s="62" t="str">
        <f aca="false">IF($A173="","",TRIM(IF($B173="","Missing invoice ID. ","")&amp;IF(AND($B173&lt;&gt;"",COUNTIFS('Invoice &amp; Delivery Log'!$A$8:$A$157,$B173)=0),"Invoice ID not found in the invoice log. ","")&amp;IF(COUNTIFS('Payments Log'!$A$8:$A$207,$A173)&gt;1,"Duplicate payment ID. ","")&amp;IF(N($F173)&lt;=0,"Payment amount must be greater than zero. ","")&amp;IF($E173="","Missing payment date. ","")&amp;IF(AND($E173&lt;&gt;"",$J173&lt;&gt;"",$E173&lt;$J173),"Payment dated before the invoice date. ","")&amp;IF(AND($E173&lt;&gt;"",$E173&gt;Settings!$C$5),"Payment date is in the future. ","")&amp;IF(ROUND(N($P173),2)&lt;0,"Payment exceeds the invoice balance. ","")&amp;IF($G173="","Missing payment method. ","")))</f>
        <v/>
      </c>
    </row>
    <row r="174" customFormat="false" ht="15" hidden="false" customHeight="true" outlineLevel="0" collapsed="false">
      <c r="A174" s="44"/>
      <c r="B174" s="44"/>
      <c r="C174" s="63" t="str">
        <f aca="false">IF($B174="","",IFERROR(INDEX('Invoice &amp; Delivery Log'!$B$8:$B$157,MATCH($B174,'Invoice &amp; Delivery Log'!$A$8:$A$157,0)),""))</f>
        <v/>
      </c>
      <c r="D174" s="55" t="str">
        <f aca="false">IF($B174="","",IFERROR(INDEX('Invoice &amp; Delivery Log'!$C$8:$C$157,MATCH($B174,'Invoice &amp; Delivery Log'!$A$8:$A$157,0)),"INVOICE NOT FOUND"))</f>
        <v/>
      </c>
      <c r="E174" s="56"/>
      <c r="F174" s="58"/>
      <c r="G174" s="44"/>
      <c r="H174" s="45"/>
      <c r="I174" s="45"/>
      <c r="J174" s="64" t="str">
        <f aca="false">IF($B174="","",IFERROR(INDEX('Invoice &amp; Delivery Log'!$H$8:$H$157,MATCH($B174,'Invoice &amp; Delivery Log'!$A$8:$A$157,0)),""))</f>
        <v/>
      </c>
      <c r="K174" s="64" t="str">
        <f aca="false">IF($B174="","",IFERROR(INDEX('Invoice &amp; Delivery Log'!$M$8:$M$157,MATCH($B174,'Invoice &amp; Delivery Log'!$A$8:$A$157,0)),""))</f>
        <v/>
      </c>
      <c r="L174" s="47" t="str">
        <f aca="false">IF(OR($E174="",$J174=""),"",$E174-$J174)</f>
        <v/>
      </c>
      <c r="M174" s="47" t="str">
        <f aca="false">IF(OR($E174="",$K174=""),"",$E174-$K174)</f>
        <v/>
      </c>
      <c r="N174" s="36" t="str">
        <f aca="false">IF(OR($E174="",$K174=""),"n/a",IF($E174&lt;=$K174,"On Time","Late"))</f>
        <v>n/a</v>
      </c>
      <c r="O174" s="30" t="str">
        <f aca="false">IF($B174="","",SUMIFS($F$8:$F174,$B$8:$B174,$B174))</f>
        <v/>
      </c>
      <c r="P174" s="30" t="str">
        <f aca="false">IF($B174="","",IFERROR(ROUND(INDEX('Invoice &amp; Delivery Log'!$N$8:$N$157,MATCH($B174,'Invoice &amp; Delivery Log'!$A$8:$A$157,0))-$O174,2),""))</f>
        <v/>
      </c>
      <c r="Q174" s="36" t="str">
        <f aca="false">IF($A174="","",IF($R174="","OK","REVIEW"))</f>
        <v/>
      </c>
      <c r="R174" s="28" t="str">
        <f aca="false">IF($A174="","",TRIM(IF($B174="","Missing invoice ID. ","")&amp;IF(AND($B174&lt;&gt;"",COUNTIFS('Invoice &amp; Delivery Log'!$A$8:$A$157,$B174)=0),"Invoice ID not found in the invoice log. ","")&amp;IF(COUNTIFS('Payments Log'!$A$8:$A$207,$A174)&gt;1,"Duplicate payment ID. ","")&amp;IF(N($F174)&lt;=0,"Payment amount must be greater than zero. ","")&amp;IF($E174="","Missing payment date. ","")&amp;IF(AND($E174&lt;&gt;"",$J174&lt;&gt;"",$E174&lt;$J174),"Payment dated before the invoice date. ","")&amp;IF(AND($E174&lt;&gt;"",$E174&gt;Settings!$C$5),"Payment date is in the future. ","")&amp;IF(ROUND(N($P174),2)&lt;0,"Payment exceeds the invoice balance. ","")&amp;IF($G174="","Missing payment method. ","")))</f>
        <v/>
      </c>
    </row>
    <row r="175" customFormat="false" ht="15" hidden="false" customHeight="true" outlineLevel="0" collapsed="false">
      <c r="A175" s="44"/>
      <c r="B175" s="44"/>
      <c r="C175" s="65" t="str">
        <f aca="false">IF($B175="","",IFERROR(INDEX('Invoice &amp; Delivery Log'!$B$8:$B$157,MATCH($B175,'Invoice &amp; Delivery Log'!$A$8:$A$157,0)),""))</f>
        <v/>
      </c>
      <c r="D175" s="59" t="str">
        <f aca="false">IF($B175="","",IFERROR(INDEX('Invoice &amp; Delivery Log'!$C$8:$C$157,MATCH($B175,'Invoice &amp; Delivery Log'!$A$8:$A$157,0)),"INVOICE NOT FOUND"))</f>
        <v/>
      </c>
      <c r="E175" s="56"/>
      <c r="F175" s="58"/>
      <c r="G175" s="44"/>
      <c r="H175" s="45"/>
      <c r="I175" s="45"/>
      <c r="J175" s="66" t="str">
        <f aca="false">IF($B175="","",IFERROR(INDEX('Invoice &amp; Delivery Log'!$H$8:$H$157,MATCH($B175,'Invoice &amp; Delivery Log'!$A$8:$A$157,0)),""))</f>
        <v/>
      </c>
      <c r="K175" s="66" t="str">
        <f aca="false">IF($B175="","",IFERROR(INDEX('Invoice &amp; Delivery Log'!$M$8:$M$157,MATCH($B175,'Invoice &amp; Delivery Log'!$A$8:$A$157,0)),""))</f>
        <v/>
      </c>
      <c r="L175" s="52" t="str">
        <f aca="false">IF(OR($E175="",$J175=""),"",$E175-$J175)</f>
        <v/>
      </c>
      <c r="M175" s="52" t="str">
        <f aca="false">IF(OR($E175="",$K175=""),"",$E175-$K175)</f>
        <v/>
      </c>
      <c r="N175" s="53" t="str">
        <f aca="false">IF(OR($E175="",$K175=""),"n/a",IF($E175&lt;=$K175,"On Time","Late"))</f>
        <v>n/a</v>
      </c>
      <c r="O175" s="50" t="str">
        <f aca="false">IF($B175="","",SUMIFS($F$8:$F175,$B$8:$B175,$B175))</f>
        <v/>
      </c>
      <c r="P175" s="50" t="str">
        <f aca="false">IF($B175="","",IFERROR(ROUND(INDEX('Invoice &amp; Delivery Log'!$N$8:$N$157,MATCH($B175,'Invoice &amp; Delivery Log'!$A$8:$A$157,0))-$O175,2),""))</f>
        <v/>
      </c>
      <c r="Q175" s="53" t="str">
        <f aca="false">IF($A175="","",IF($R175="","OK","REVIEW"))</f>
        <v/>
      </c>
      <c r="R175" s="62" t="str">
        <f aca="false">IF($A175="","",TRIM(IF($B175="","Missing invoice ID. ","")&amp;IF(AND($B175&lt;&gt;"",COUNTIFS('Invoice &amp; Delivery Log'!$A$8:$A$157,$B175)=0),"Invoice ID not found in the invoice log. ","")&amp;IF(COUNTIFS('Payments Log'!$A$8:$A$207,$A175)&gt;1,"Duplicate payment ID. ","")&amp;IF(N($F175)&lt;=0,"Payment amount must be greater than zero. ","")&amp;IF($E175="","Missing payment date. ","")&amp;IF(AND($E175&lt;&gt;"",$J175&lt;&gt;"",$E175&lt;$J175),"Payment dated before the invoice date. ","")&amp;IF(AND($E175&lt;&gt;"",$E175&gt;Settings!$C$5),"Payment date is in the future. ","")&amp;IF(ROUND(N($P175),2)&lt;0,"Payment exceeds the invoice balance. ","")&amp;IF($G175="","Missing payment method. ","")))</f>
        <v/>
      </c>
    </row>
    <row r="176" customFormat="false" ht="15" hidden="false" customHeight="true" outlineLevel="0" collapsed="false">
      <c r="A176" s="44"/>
      <c r="B176" s="44"/>
      <c r="C176" s="63" t="str">
        <f aca="false">IF($B176="","",IFERROR(INDEX('Invoice &amp; Delivery Log'!$B$8:$B$157,MATCH($B176,'Invoice &amp; Delivery Log'!$A$8:$A$157,0)),""))</f>
        <v/>
      </c>
      <c r="D176" s="55" t="str">
        <f aca="false">IF($B176="","",IFERROR(INDEX('Invoice &amp; Delivery Log'!$C$8:$C$157,MATCH($B176,'Invoice &amp; Delivery Log'!$A$8:$A$157,0)),"INVOICE NOT FOUND"))</f>
        <v/>
      </c>
      <c r="E176" s="56"/>
      <c r="F176" s="58"/>
      <c r="G176" s="44"/>
      <c r="H176" s="45"/>
      <c r="I176" s="45"/>
      <c r="J176" s="64" t="str">
        <f aca="false">IF($B176="","",IFERROR(INDEX('Invoice &amp; Delivery Log'!$H$8:$H$157,MATCH($B176,'Invoice &amp; Delivery Log'!$A$8:$A$157,0)),""))</f>
        <v/>
      </c>
      <c r="K176" s="64" t="str">
        <f aca="false">IF($B176="","",IFERROR(INDEX('Invoice &amp; Delivery Log'!$M$8:$M$157,MATCH($B176,'Invoice &amp; Delivery Log'!$A$8:$A$157,0)),""))</f>
        <v/>
      </c>
      <c r="L176" s="47" t="str">
        <f aca="false">IF(OR($E176="",$J176=""),"",$E176-$J176)</f>
        <v/>
      </c>
      <c r="M176" s="47" t="str">
        <f aca="false">IF(OR($E176="",$K176=""),"",$E176-$K176)</f>
        <v/>
      </c>
      <c r="N176" s="36" t="str">
        <f aca="false">IF(OR($E176="",$K176=""),"n/a",IF($E176&lt;=$K176,"On Time","Late"))</f>
        <v>n/a</v>
      </c>
      <c r="O176" s="30" t="str">
        <f aca="false">IF($B176="","",SUMIFS($F$8:$F176,$B$8:$B176,$B176))</f>
        <v/>
      </c>
      <c r="P176" s="30" t="str">
        <f aca="false">IF($B176="","",IFERROR(ROUND(INDEX('Invoice &amp; Delivery Log'!$N$8:$N$157,MATCH($B176,'Invoice &amp; Delivery Log'!$A$8:$A$157,0))-$O176,2),""))</f>
        <v/>
      </c>
      <c r="Q176" s="36" t="str">
        <f aca="false">IF($A176="","",IF($R176="","OK","REVIEW"))</f>
        <v/>
      </c>
      <c r="R176" s="28" t="str">
        <f aca="false">IF($A176="","",TRIM(IF($B176="","Missing invoice ID. ","")&amp;IF(AND($B176&lt;&gt;"",COUNTIFS('Invoice &amp; Delivery Log'!$A$8:$A$157,$B176)=0),"Invoice ID not found in the invoice log. ","")&amp;IF(COUNTIFS('Payments Log'!$A$8:$A$207,$A176)&gt;1,"Duplicate payment ID. ","")&amp;IF(N($F176)&lt;=0,"Payment amount must be greater than zero. ","")&amp;IF($E176="","Missing payment date. ","")&amp;IF(AND($E176&lt;&gt;"",$J176&lt;&gt;"",$E176&lt;$J176),"Payment dated before the invoice date. ","")&amp;IF(AND($E176&lt;&gt;"",$E176&gt;Settings!$C$5),"Payment date is in the future. ","")&amp;IF(ROUND(N($P176),2)&lt;0,"Payment exceeds the invoice balance. ","")&amp;IF($G176="","Missing payment method. ","")))</f>
        <v/>
      </c>
    </row>
    <row r="177" customFormat="false" ht="15" hidden="false" customHeight="true" outlineLevel="0" collapsed="false">
      <c r="A177" s="44"/>
      <c r="B177" s="44"/>
      <c r="C177" s="65" t="str">
        <f aca="false">IF($B177="","",IFERROR(INDEX('Invoice &amp; Delivery Log'!$B$8:$B$157,MATCH($B177,'Invoice &amp; Delivery Log'!$A$8:$A$157,0)),""))</f>
        <v/>
      </c>
      <c r="D177" s="59" t="str">
        <f aca="false">IF($B177="","",IFERROR(INDEX('Invoice &amp; Delivery Log'!$C$8:$C$157,MATCH($B177,'Invoice &amp; Delivery Log'!$A$8:$A$157,0)),"INVOICE NOT FOUND"))</f>
        <v/>
      </c>
      <c r="E177" s="56"/>
      <c r="F177" s="58"/>
      <c r="G177" s="44"/>
      <c r="H177" s="45"/>
      <c r="I177" s="45"/>
      <c r="J177" s="66" t="str">
        <f aca="false">IF($B177="","",IFERROR(INDEX('Invoice &amp; Delivery Log'!$H$8:$H$157,MATCH($B177,'Invoice &amp; Delivery Log'!$A$8:$A$157,0)),""))</f>
        <v/>
      </c>
      <c r="K177" s="66" t="str">
        <f aca="false">IF($B177="","",IFERROR(INDEX('Invoice &amp; Delivery Log'!$M$8:$M$157,MATCH($B177,'Invoice &amp; Delivery Log'!$A$8:$A$157,0)),""))</f>
        <v/>
      </c>
      <c r="L177" s="52" t="str">
        <f aca="false">IF(OR($E177="",$J177=""),"",$E177-$J177)</f>
        <v/>
      </c>
      <c r="M177" s="52" t="str">
        <f aca="false">IF(OR($E177="",$K177=""),"",$E177-$K177)</f>
        <v/>
      </c>
      <c r="N177" s="53" t="str">
        <f aca="false">IF(OR($E177="",$K177=""),"n/a",IF($E177&lt;=$K177,"On Time","Late"))</f>
        <v>n/a</v>
      </c>
      <c r="O177" s="50" t="str">
        <f aca="false">IF($B177="","",SUMIFS($F$8:$F177,$B$8:$B177,$B177))</f>
        <v/>
      </c>
      <c r="P177" s="50" t="str">
        <f aca="false">IF($B177="","",IFERROR(ROUND(INDEX('Invoice &amp; Delivery Log'!$N$8:$N$157,MATCH($B177,'Invoice &amp; Delivery Log'!$A$8:$A$157,0))-$O177,2),""))</f>
        <v/>
      </c>
      <c r="Q177" s="53" t="str">
        <f aca="false">IF($A177="","",IF($R177="","OK","REVIEW"))</f>
        <v/>
      </c>
      <c r="R177" s="62" t="str">
        <f aca="false">IF($A177="","",TRIM(IF($B177="","Missing invoice ID. ","")&amp;IF(AND($B177&lt;&gt;"",COUNTIFS('Invoice &amp; Delivery Log'!$A$8:$A$157,$B177)=0),"Invoice ID not found in the invoice log. ","")&amp;IF(COUNTIFS('Payments Log'!$A$8:$A$207,$A177)&gt;1,"Duplicate payment ID. ","")&amp;IF(N($F177)&lt;=0,"Payment amount must be greater than zero. ","")&amp;IF($E177="","Missing payment date. ","")&amp;IF(AND($E177&lt;&gt;"",$J177&lt;&gt;"",$E177&lt;$J177),"Payment dated before the invoice date. ","")&amp;IF(AND($E177&lt;&gt;"",$E177&gt;Settings!$C$5),"Payment date is in the future. ","")&amp;IF(ROUND(N($P177),2)&lt;0,"Payment exceeds the invoice balance. ","")&amp;IF($G177="","Missing payment method. ","")))</f>
        <v/>
      </c>
    </row>
    <row r="178" customFormat="false" ht="15" hidden="false" customHeight="true" outlineLevel="0" collapsed="false">
      <c r="A178" s="44"/>
      <c r="B178" s="44"/>
      <c r="C178" s="63" t="str">
        <f aca="false">IF($B178="","",IFERROR(INDEX('Invoice &amp; Delivery Log'!$B$8:$B$157,MATCH($B178,'Invoice &amp; Delivery Log'!$A$8:$A$157,0)),""))</f>
        <v/>
      </c>
      <c r="D178" s="55" t="str">
        <f aca="false">IF($B178="","",IFERROR(INDEX('Invoice &amp; Delivery Log'!$C$8:$C$157,MATCH($B178,'Invoice &amp; Delivery Log'!$A$8:$A$157,0)),"INVOICE NOT FOUND"))</f>
        <v/>
      </c>
      <c r="E178" s="56"/>
      <c r="F178" s="58"/>
      <c r="G178" s="44"/>
      <c r="H178" s="45"/>
      <c r="I178" s="45"/>
      <c r="J178" s="64" t="str">
        <f aca="false">IF($B178="","",IFERROR(INDEX('Invoice &amp; Delivery Log'!$H$8:$H$157,MATCH($B178,'Invoice &amp; Delivery Log'!$A$8:$A$157,0)),""))</f>
        <v/>
      </c>
      <c r="K178" s="64" t="str">
        <f aca="false">IF($B178="","",IFERROR(INDEX('Invoice &amp; Delivery Log'!$M$8:$M$157,MATCH($B178,'Invoice &amp; Delivery Log'!$A$8:$A$157,0)),""))</f>
        <v/>
      </c>
      <c r="L178" s="47" t="str">
        <f aca="false">IF(OR($E178="",$J178=""),"",$E178-$J178)</f>
        <v/>
      </c>
      <c r="M178" s="47" t="str">
        <f aca="false">IF(OR($E178="",$K178=""),"",$E178-$K178)</f>
        <v/>
      </c>
      <c r="N178" s="36" t="str">
        <f aca="false">IF(OR($E178="",$K178=""),"n/a",IF($E178&lt;=$K178,"On Time","Late"))</f>
        <v>n/a</v>
      </c>
      <c r="O178" s="30" t="str">
        <f aca="false">IF($B178="","",SUMIFS($F$8:$F178,$B$8:$B178,$B178))</f>
        <v/>
      </c>
      <c r="P178" s="30" t="str">
        <f aca="false">IF($B178="","",IFERROR(ROUND(INDEX('Invoice &amp; Delivery Log'!$N$8:$N$157,MATCH($B178,'Invoice &amp; Delivery Log'!$A$8:$A$157,0))-$O178,2),""))</f>
        <v/>
      </c>
      <c r="Q178" s="36" t="str">
        <f aca="false">IF($A178="","",IF($R178="","OK","REVIEW"))</f>
        <v/>
      </c>
      <c r="R178" s="28" t="str">
        <f aca="false">IF($A178="","",TRIM(IF($B178="","Missing invoice ID. ","")&amp;IF(AND($B178&lt;&gt;"",COUNTIFS('Invoice &amp; Delivery Log'!$A$8:$A$157,$B178)=0),"Invoice ID not found in the invoice log. ","")&amp;IF(COUNTIFS('Payments Log'!$A$8:$A$207,$A178)&gt;1,"Duplicate payment ID. ","")&amp;IF(N($F178)&lt;=0,"Payment amount must be greater than zero. ","")&amp;IF($E178="","Missing payment date. ","")&amp;IF(AND($E178&lt;&gt;"",$J178&lt;&gt;"",$E178&lt;$J178),"Payment dated before the invoice date. ","")&amp;IF(AND($E178&lt;&gt;"",$E178&gt;Settings!$C$5),"Payment date is in the future. ","")&amp;IF(ROUND(N($P178),2)&lt;0,"Payment exceeds the invoice balance. ","")&amp;IF($G178="","Missing payment method. ","")))</f>
        <v/>
      </c>
    </row>
    <row r="179" customFormat="false" ht="15" hidden="false" customHeight="true" outlineLevel="0" collapsed="false">
      <c r="A179" s="44"/>
      <c r="B179" s="44"/>
      <c r="C179" s="65" t="str">
        <f aca="false">IF($B179="","",IFERROR(INDEX('Invoice &amp; Delivery Log'!$B$8:$B$157,MATCH($B179,'Invoice &amp; Delivery Log'!$A$8:$A$157,0)),""))</f>
        <v/>
      </c>
      <c r="D179" s="59" t="str">
        <f aca="false">IF($B179="","",IFERROR(INDEX('Invoice &amp; Delivery Log'!$C$8:$C$157,MATCH($B179,'Invoice &amp; Delivery Log'!$A$8:$A$157,0)),"INVOICE NOT FOUND"))</f>
        <v/>
      </c>
      <c r="E179" s="56"/>
      <c r="F179" s="58"/>
      <c r="G179" s="44"/>
      <c r="H179" s="45"/>
      <c r="I179" s="45"/>
      <c r="J179" s="66" t="str">
        <f aca="false">IF($B179="","",IFERROR(INDEX('Invoice &amp; Delivery Log'!$H$8:$H$157,MATCH($B179,'Invoice &amp; Delivery Log'!$A$8:$A$157,0)),""))</f>
        <v/>
      </c>
      <c r="K179" s="66" t="str">
        <f aca="false">IF($B179="","",IFERROR(INDEX('Invoice &amp; Delivery Log'!$M$8:$M$157,MATCH($B179,'Invoice &amp; Delivery Log'!$A$8:$A$157,0)),""))</f>
        <v/>
      </c>
      <c r="L179" s="52" t="str">
        <f aca="false">IF(OR($E179="",$J179=""),"",$E179-$J179)</f>
        <v/>
      </c>
      <c r="M179" s="52" t="str">
        <f aca="false">IF(OR($E179="",$K179=""),"",$E179-$K179)</f>
        <v/>
      </c>
      <c r="N179" s="53" t="str">
        <f aca="false">IF(OR($E179="",$K179=""),"n/a",IF($E179&lt;=$K179,"On Time","Late"))</f>
        <v>n/a</v>
      </c>
      <c r="O179" s="50" t="str">
        <f aca="false">IF($B179="","",SUMIFS($F$8:$F179,$B$8:$B179,$B179))</f>
        <v/>
      </c>
      <c r="P179" s="50" t="str">
        <f aca="false">IF($B179="","",IFERROR(ROUND(INDEX('Invoice &amp; Delivery Log'!$N$8:$N$157,MATCH($B179,'Invoice &amp; Delivery Log'!$A$8:$A$157,0))-$O179,2),""))</f>
        <v/>
      </c>
      <c r="Q179" s="53" t="str">
        <f aca="false">IF($A179="","",IF($R179="","OK","REVIEW"))</f>
        <v/>
      </c>
      <c r="R179" s="62" t="str">
        <f aca="false">IF($A179="","",TRIM(IF($B179="","Missing invoice ID. ","")&amp;IF(AND($B179&lt;&gt;"",COUNTIFS('Invoice &amp; Delivery Log'!$A$8:$A$157,$B179)=0),"Invoice ID not found in the invoice log. ","")&amp;IF(COUNTIFS('Payments Log'!$A$8:$A$207,$A179)&gt;1,"Duplicate payment ID. ","")&amp;IF(N($F179)&lt;=0,"Payment amount must be greater than zero. ","")&amp;IF($E179="","Missing payment date. ","")&amp;IF(AND($E179&lt;&gt;"",$J179&lt;&gt;"",$E179&lt;$J179),"Payment dated before the invoice date. ","")&amp;IF(AND($E179&lt;&gt;"",$E179&gt;Settings!$C$5),"Payment date is in the future. ","")&amp;IF(ROUND(N($P179),2)&lt;0,"Payment exceeds the invoice balance. ","")&amp;IF($G179="","Missing payment method. ","")))</f>
        <v/>
      </c>
    </row>
    <row r="180" customFormat="false" ht="15" hidden="false" customHeight="true" outlineLevel="0" collapsed="false">
      <c r="A180" s="44"/>
      <c r="B180" s="44"/>
      <c r="C180" s="63" t="str">
        <f aca="false">IF($B180="","",IFERROR(INDEX('Invoice &amp; Delivery Log'!$B$8:$B$157,MATCH($B180,'Invoice &amp; Delivery Log'!$A$8:$A$157,0)),""))</f>
        <v/>
      </c>
      <c r="D180" s="55" t="str">
        <f aca="false">IF($B180="","",IFERROR(INDEX('Invoice &amp; Delivery Log'!$C$8:$C$157,MATCH($B180,'Invoice &amp; Delivery Log'!$A$8:$A$157,0)),"INVOICE NOT FOUND"))</f>
        <v/>
      </c>
      <c r="E180" s="56"/>
      <c r="F180" s="58"/>
      <c r="G180" s="44"/>
      <c r="H180" s="45"/>
      <c r="I180" s="45"/>
      <c r="J180" s="64" t="str">
        <f aca="false">IF($B180="","",IFERROR(INDEX('Invoice &amp; Delivery Log'!$H$8:$H$157,MATCH($B180,'Invoice &amp; Delivery Log'!$A$8:$A$157,0)),""))</f>
        <v/>
      </c>
      <c r="K180" s="64" t="str">
        <f aca="false">IF($B180="","",IFERROR(INDEX('Invoice &amp; Delivery Log'!$M$8:$M$157,MATCH($B180,'Invoice &amp; Delivery Log'!$A$8:$A$157,0)),""))</f>
        <v/>
      </c>
      <c r="L180" s="47" t="str">
        <f aca="false">IF(OR($E180="",$J180=""),"",$E180-$J180)</f>
        <v/>
      </c>
      <c r="M180" s="47" t="str">
        <f aca="false">IF(OR($E180="",$K180=""),"",$E180-$K180)</f>
        <v/>
      </c>
      <c r="N180" s="36" t="str">
        <f aca="false">IF(OR($E180="",$K180=""),"n/a",IF($E180&lt;=$K180,"On Time","Late"))</f>
        <v>n/a</v>
      </c>
      <c r="O180" s="30" t="str">
        <f aca="false">IF($B180="","",SUMIFS($F$8:$F180,$B$8:$B180,$B180))</f>
        <v/>
      </c>
      <c r="P180" s="30" t="str">
        <f aca="false">IF($B180="","",IFERROR(ROUND(INDEX('Invoice &amp; Delivery Log'!$N$8:$N$157,MATCH($B180,'Invoice &amp; Delivery Log'!$A$8:$A$157,0))-$O180,2),""))</f>
        <v/>
      </c>
      <c r="Q180" s="36" t="str">
        <f aca="false">IF($A180="","",IF($R180="","OK","REVIEW"))</f>
        <v/>
      </c>
      <c r="R180" s="28" t="str">
        <f aca="false">IF($A180="","",TRIM(IF($B180="","Missing invoice ID. ","")&amp;IF(AND($B180&lt;&gt;"",COUNTIFS('Invoice &amp; Delivery Log'!$A$8:$A$157,$B180)=0),"Invoice ID not found in the invoice log. ","")&amp;IF(COUNTIFS('Payments Log'!$A$8:$A$207,$A180)&gt;1,"Duplicate payment ID. ","")&amp;IF(N($F180)&lt;=0,"Payment amount must be greater than zero. ","")&amp;IF($E180="","Missing payment date. ","")&amp;IF(AND($E180&lt;&gt;"",$J180&lt;&gt;"",$E180&lt;$J180),"Payment dated before the invoice date. ","")&amp;IF(AND($E180&lt;&gt;"",$E180&gt;Settings!$C$5),"Payment date is in the future. ","")&amp;IF(ROUND(N($P180),2)&lt;0,"Payment exceeds the invoice balance. ","")&amp;IF($G180="","Missing payment method. ","")))</f>
        <v/>
      </c>
    </row>
    <row r="181" customFormat="false" ht="15" hidden="false" customHeight="true" outlineLevel="0" collapsed="false">
      <c r="A181" s="44"/>
      <c r="B181" s="44"/>
      <c r="C181" s="65" t="str">
        <f aca="false">IF($B181="","",IFERROR(INDEX('Invoice &amp; Delivery Log'!$B$8:$B$157,MATCH($B181,'Invoice &amp; Delivery Log'!$A$8:$A$157,0)),""))</f>
        <v/>
      </c>
      <c r="D181" s="59" t="str">
        <f aca="false">IF($B181="","",IFERROR(INDEX('Invoice &amp; Delivery Log'!$C$8:$C$157,MATCH($B181,'Invoice &amp; Delivery Log'!$A$8:$A$157,0)),"INVOICE NOT FOUND"))</f>
        <v/>
      </c>
      <c r="E181" s="56"/>
      <c r="F181" s="58"/>
      <c r="G181" s="44"/>
      <c r="H181" s="45"/>
      <c r="I181" s="45"/>
      <c r="J181" s="66" t="str">
        <f aca="false">IF($B181="","",IFERROR(INDEX('Invoice &amp; Delivery Log'!$H$8:$H$157,MATCH($B181,'Invoice &amp; Delivery Log'!$A$8:$A$157,0)),""))</f>
        <v/>
      </c>
      <c r="K181" s="66" t="str">
        <f aca="false">IF($B181="","",IFERROR(INDEX('Invoice &amp; Delivery Log'!$M$8:$M$157,MATCH($B181,'Invoice &amp; Delivery Log'!$A$8:$A$157,0)),""))</f>
        <v/>
      </c>
      <c r="L181" s="52" t="str">
        <f aca="false">IF(OR($E181="",$J181=""),"",$E181-$J181)</f>
        <v/>
      </c>
      <c r="M181" s="52" t="str">
        <f aca="false">IF(OR($E181="",$K181=""),"",$E181-$K181)</f>
        <v/>
      </c>
      <c r="N181" s="53" t="str">
        <f aca="false">IF(OR($E181="",$K181=""),"n/a",IF($E181&lt;=$K181,"On Time","Late"))</f>
        <v>n/a</v>
      </c>
      <c r="O181" s="50" t="str">
        <f aca="false">IF($B181="","",SUMIFS($F$8:$F181,$B$8:$B181,$B181))</f>
        <v/>
      </c>
      <c r="P181" s="50" t="str">
        <f aca="false">IF($B181="","",IFERROR(ROUND(INDEX('Invoice &amp; Delivery Log'!$N$8:$N$157,MATCH($B181,'Invoice &amp; Delivery Log'!$A$8:$A$157,0))-$O181,2),""))</f>
        <v/>
      </c>
      <c r="Q181" s="53" t="str">
        <f aca="false">IF($A181="","",IF($R181="","OK","REVIEW"))</f>
        <v/>
      </c>
      <c r="R181" s="62" t="str">
        <f aca="false">IF($A181="","",TRIM(IF($B181="","Missing invoice ID. ","")&amp;IF(AND($B181&lt;&gt;"",COUNTIFS('Invoice &amp; Delivery Log'!$A$8:$A$157,$B181)=0),"Invoice ID not found in the invoice log. ","")&amp;IF(COUNTIFS('Payments Log'!$A$8:$A$207,$A181)&gt;1,"Duplicate payment ID. ","")&amp;IF(N($F181)&lt;=0,"Payment amount must be greater than zero. ","")&amp;IF($E181="","Missing payment date. ","")&amp;IF(AND($E181&lt;&gt;"",$J181&lt;&gt;"",$E181&lt;$J181),"Payment dated before the invoice date. ","")&amp;IF(AND($E181&lt;&gt;"",$E181&gt;Settings!$C$5),"Payment date is in the future. ","")&amp;IF(ROUND(N($P181),2)&lt;0,"Payment exceeds the invoice balance. ","")&amp;IF($G181="","Missing payment method. ","")))</f>
        <v/>
      </c>
    </row>
    <row r="182" customFormat="false" ht="15" hidden="false" customHeight="true" outlineLevel="0" collapsed="false">
      <c r="A182" s="44"/>
      <c r="B182" s="44"/>
      <c r="C182" s="63" t="str">
        <f aca="false">IF($B182="","",IFERROR(INDEX('Invoice &amp; Delivery Log'!$B$8:$B$157,MATCH($B182,'Invoice &amp; Delivery Log'!$A$8:$A$157,0)),""))</f>
        <v/>
      </c>
      <c r="D182" s="55" t="str">
        <f aca="false">IF($B182="","",IFERROR(INDEX('Invoice &amp; Delivery Log'!$C$8:$C$157,MATCH($B182,'Invoice &amp; Delivery Log'!$A$8:$A$157,0)),"INVOICE NOT FOUND"))</f>
        <v/>
      </c>
      <c r="E182" s="56"/>
      <c r="F182" s="58"/>
      <c r="G182" s="44"/>
      <c r="H182" s="45"/>
      <c r="I182" s="45"/>
      <c r="J182" s="64" t="str">
        <f aca="false">IF($B182="","",IFERROR(INDEX('Invoice &amp; Delivery Log'!$H$8:$H$157,MATCH($B182,'Invoice &amp; Delivery Log'!$A$8:$A$157,0)),""))</f>
        <v/>
      </c>
      <c r="K182" s="64" t="str">
        <f aca="false">IF($B182="","",IFERROR(INDEX('Invoice &amp; Delivery Log'!$M$8:$M$157,MATCH($B182,'Invoice &amp; Delivery Log'!$A$8:$A$157,0)),""))</f>
        <v/>
      </c>
      <c r="L182" s="47" t="str">
        <f aca="false">IF(OR($E182="",$J182=""),"",$E182-$J182)</f>
        <v/>
      </c>
      <c r="M182" s="47" t="str">
        <f aca="false">IF(OR($E182="",$K182=""),"",$E182-$K182)</f>
        <v/>
      </c>
      <c r="N182" s="36" t="str">
        <f aca="false">IF(OR($E182="",$K182=""),"n/a",IF($E182&lt;=$K182,"On Time","Late"))</f>
        <v>n/a</v>
      </c>
      <c r="O182" s="30" t="str">
        <f aca="false">IF($B182="","",SUMIFS($F$8:$F182,$B$8:$B182,$B182))</f>
        <v/>
      </c>
      <c r="P182" s="30" t="str">
        <f aca="false">IF($B182="","",IFERROR(ROUND(INDEX('Invoice &amp; Delivery Log'!$N$8:$N$157,MATCH($B182,'Invoice &amp; Delivery Log'!$A$8:$A$157,0))-$O182,2),""))</f>
        <v/>
      </c>
      <c r="Q182" s="36" t="str">
        <f aca="false">IF($A182="","",IF($R182="","OK","REVIEW"))</f>
        <v/>
      </c>
      <c r="R182" s="28" t="str">
        <f aca="false">IF($A182="","",TRIM(IF($B182="","Missing invoice ID. ","")&amp;IF(AND($B182&lt;&gt;"",COUNTIFS('Invoice &amp; Delivery Log'!$A$8:$A$157,$B182)=0),"Invoice ID not found in the invoice log. ","")&amp;IF(COUNTIFS('Payments Log'!$A$8:$A$207,$A182)&gt;1,"Duplicate payment ID. ","")&amp;IF(N($F182)&lt;=0,"Payment amount must be greater than zero. ","")&amp;IF($E182="","Missing payment date. ","")&amp;IF(AND($E182&lt;&gt;"",$J182&lt;&gt;"",$E182&lt;$J182),"Payment dated before the invoice date. ","")&amp;IF(AND($E182&lt;&gt;"",$E182&gt;Settings!$C$5),"Payment date is in the future. ","")&amp;IF(ROUND(N($P182),2)&lt;0,"Payment exceeds the invoice balance. ","")&amp;IF($G182="","Missing payment method. ","")))</f>
        <v/>
      </c>
    </row>
    <row r="183" customFormat="false" ht="15" hidden="false" customHeight="true" outlineLevel="0" collapsed="false">
      <c r="A183" s="44"/>
      <c r="B183" s="44"/>
      <c r="C183" s="65" t="str">
        <f aca="false">IF($B183="","",IFERROR(INDEX('Invoice &amp; Delivery Log'!$B$8:$B$157,MATCH($B183,'Invoice &amp; Delivery Log'!$A$8:$A$157,0)),""))</f>
        <v/>
      </c>
      <c r="D183" s="59" t="str">
        <f aca="false">IF($B183="","",IFERROR(INDEX('Invoice &amp; Delivery Log'!$C$8:$C$157,MATCH($B183,'Invoice &amp; Delivery Log'!$A$8:$A$157,0)),"INVOICE NOT FOUND"))</f>
        <v/>
      </c>
      <c r="E183" s="56"/>
      <c r="F183" s="58"/>
      <c r="G183" s="44"/>
      <c r="H183" s="45"/>
      <c r="I183" s="45"/>
      <c r="J183" s="66" t="str">
        <f aca="false">IF($B183="","",IFERROR(INDEX('Invoice &amp; Delivery Log'!$H$8:$H$157,MATCH($B183,'Invoice &amp; Delivery Log'!$A$8:$A$157,0)),""))</f>
        <v/>
      </c>
      <c r="K183" s="66" t="str">
        <f aca="false">IF($B183="","",IFERROR(INDEX('Invoice &amp; Delivery Log'!$M$8:$M$157,MATCH($B183,'Invoice &amp; Delivery Log'!$A$8:$A$157,0)),""))</f>
        <v/>
      </c>
      <c r="L183" s="52" t="str">
        <f aca="false">IF(OR($E183="",$J183=""),"",$E183-$J183)</f>
        <v/>
      </c>
      <c r="M183" s="52" t="str">
        <f aca="false">IF(OR($E183="",$K183=""),"",$E183-$K183)</f>
        <v/>
      </c>
      <c r="N183" s="53" t="str">
        <f aca="false">IF(OR($E183="",$K183=""),"n/a",IF($E183&lt;=$K183,"On Time","Late"))</f>
        <v>n/a</v>
      </c>
      <c r="O183" s="50" t="str">
        <f aca="false">IF($B183="","",SUMIFS($F$8:$F183,$B$8:$B183,$B183))</f>
        <v/>
      </c>
      <c r="P183" s="50" t="str">
        <f aca="false">IF($B183="","",IFERROR(ROUND(INDEX('Invoice &amp; Delivery Log'!$N$8:$N$157,MATCH($B183,'Invoice &amp; Delivery Log'!$A$8:$A$157,0))-$O183,2),""))</f>
        <v/>
      </c>
      <c r="Q183" s="53" t="str">
        <f aca="false">IF($A183="","",IF($R183="","OK","REVIEW"))</f>
        <v/>
      </c>
      <c r="R183" s="62" t="str">
        <f aca="false">IF($A183="","",TRIM(IF($B183="","Missing invoice ID. ","")&amp;IF(AND($B183&lt;&gt;"",COUNTIFS('Invoice &amp; Delivery Log'!$A$8:$A$157,$B183)=0),"Invoice ID not found in the invoice log. ","")&amp;IF(COUNTIFS('Payments Log'!$A$8:$A$207,$A183)&gt;1,"Duplicate payment ID. ","")&amp;IF(N($F183)&lt;=0,"Payment amount must be greater than zero. ","")&amp;IF($E183="","Missing payment date. ","")&amp;IF(AND($E183&lt;&gt;"",$J183&lt;&gt;"",$E183&lt;$J183),"Payment dated before the invoice date. ","")&amp;IF(AND($E183&lt;&gt;"",$E183&gt;Settings!$C$5),"Payment date is in the future. ","")&amp;IF(ROUND(N($P183),2)&lt;0,"Payment exceeds the invoice balance. ","")&amp;IF($G183="","Missing payment method. ","")))</f>
        <v/>
      </c>
    </row>
    <row r="184" customFormat="false" ht="15" hidden="false" customHeight="true" outlineLevel="0" collapsed="false">
      <c r="A184" s="44"/>
      <c r="B184" s="44"/>
      <c r="C184" s="63" t="str">
        <f aca="false">IF($B184="","",IFERROR(INDEX('Invoice &amp; Delivery Log'!$B$8:$B$157,MATCH($B184,'Invoice &amp; Delivery Log'!$A$8:$A$157,0)),""))</f>
        <v/>
      </c>
      <c r="D184" s="55" t="str">
        <f aca="false">IF($B184="","",IFERROR(INDEX('Invoice &amp; Delivery Log'!$C$8:$C$157,MATCH($B184,'Invoice &amp; Delivery Log'!$A$8:$A$157,0)),"INVOICE NOT FOUND"))</f>
        <v/>
      </c>
      <c r="E184" s="56"/>
      <c r="F184" s="58"/>
      <c r="G184" s="44"/>
      <c r="H184" s="45"/>
      <c r="I184" s="45"/>
      <c r="J184" s="64" t="str">
        <f aca="false">IF($B184="","",IFERROR(INDEX('Invoice &amp; Delivery Log'!$H$8:$H$157,MATCH($B184,'Invoice &amp; Delivery Log'!$A$8:$A$157,0)),""))</f>
        <v/>
      </c>
      <c r="K184" s="64" t="str">
        <f aca="false">IF($B184="","",IFERROR(INDEX('Invoice &amp; Delivery Log'!$M$8:$M$157,MATCH($B184,'Invoice &amp; Delivery Log'!$A$8:$A$157,0)),""))</f>
        <v/>
      </c>
      <c r="L184" s="47" t="str">
        <f aca="false">IF(OR($E184="",$J184=""),"",$E184-$J184)</f>
        <v/>
      </c>
      <c r="M184" s="47" t="str">
        <f aca="false">IF(OR($E184="",$K184=""),"",$E184-$K184)</f>
        <v/>
      </c>
      <c r="N184" s="36" t="str">
        <f aca="false">IF(OR($E184="",$K184=""),"n/a",IF($E184&lt;=$K184,"On Time","Late"))</f>
        <v>n/a</v>
      </c>
      <c r="O184" s="30" t="str">
        <f aca="false">IF($B184="","",SUMIFS($F$8:$F184,$B$8:$B184,$B184))</f>
        <v/>
      </c>
      <c r="P184" s="30" t="str">
        <f aca="false">IF($B184="","",IFERROR(ROUND(INDEX('Invoice &amp; Delivery Log'!$N$8:$N$157,MATCH($B184,'Invoice &amp; Delivery Log'!$A$8:$A$157,0))-$O184,2),""))</f>
        <v/>
      </c>
      <c r="Q184" s="36" t="str">
        <f aca="false">IF($A184="","",IF($R184="","OK","REVIEW"))</f>
        <v/>
      </c>
      <c r="R184" s="28" t="str">
        <f aca="false">IF($A184="","",TRIM(IF($B184="","Missing invoice ID. ","")&amp;IF(AND($B184&lt;&gt;"",COUNTIFS('Invoice &amp; Delivery Log'!$A$8:$A$157,$B184)=0),"Invoice ID not found in the invoice log. ","")&amp;IF(COUNTIFS('Payments Log'!$A$8:$A$207,$A184)&gt;1,"Duplicate payment ID. ","")&amp;IF(N($F184)&lt;=0,"Payment amount must be greater than zero. ","")&amp;IF($E184="","Missing payment date. ","")&amp;IF(AND($E184&lt;&gt;"",$J184&lt;&gt;"",$E184&lt;$J184),"Payment dated before the invoice date. ","")&amp;IF(AND($E184&lt;&gt;"",$E184&gt;Settings!$C$5),"Payment date is in the future. ","")&amp;IF(ROUND(N($P184),2)&lt;0,"Payment exceeds the invoice balance. ","")&amp;IF($G184="","Missing payment method. ","")))</f>
        <v/>
      </c>
    </row>
    <row r="185" customFormat="false" ht="15" hidden="false" customHeight="true" outlineLevel="0" collapsed="false">
      <c r="A185" s="44"/>
      <c r="B185" s="44"/>
      <c r="C185" s="65" t="str">
        <f aca="false">IF($B185="","",IFERROR(INDEX('Invoice &amp; Delivery Log'!$B$8:$B$157,MATCH($B185,'Invoice &amp; Delivery Log'!$A$8:$A$157,0)),""))</f>
        <v/>
      </c>
      <c r="D185" s="59" t="str">
        <f aca="false">IF($B185="","",IFERROR(INDEX('Invoice &amp; Delivery Log'!$C$8:$C$157,MATCH($B185,'Invoice &amp; Delivery Log'!$A$8:$A$157,0)),"INVOICE NOT FOUND"))</f>
        <v/>
      </c>
      <c r="E185" s="56"/>
      <c r="F185" s="58"/>
      <c r="G185" s="44"/>
      <c r="H185" s="45"/>
      <c r="I185" s="45"/>
      <c r="J185" s="66" t="str">
        <f aca="false">IF($B185="","",IFERROR(INDEX('Invoice &amp; Delivery Log'!$H$8:$H$157,MATCH($B185,'Invoice &amp; Delivery Log'!$A$8:$A$157,0)),""))</f>
        <v/>
      </c>
      <c r="K185" s="66" t="str">
        <f aca="false">IF($B185="","",IFERROR(INDEX('Invoice &amp; Delivery Log'!$M$8:$M$157,MATCH($B185,'Invoice &amp; Delivery Log'!$A$8:$A$157,0)),""))</f>
        <v/>
      </c>
      <c r="L185" s="52" t="str">
        <f aca="false">IF(OR($E185="",$J185=""),"",$E185-$J185)</f>
        <v/>
      </c>
      <c r="M185" s="52" t="str">
        <f aca="false">IF(OR($E185="",$K185=""),"",$E185-$K185)</f>
        <v/>
      </c>
      <c r="N185" s="53" t="str">
        <f aca="false">IF(OR($E185="",$K185=""),"n/a",IF($E185&lt;=$K185,"On Time","Late"))</f>
        <v>n/a</v>
      </c>
      <c r="O185" s="50" t="str">
        <f aca="false">IF($B185="","",SUMIFS($F$8:$F185,$B$8:$B185,$B185))</f>
        <v/>
      </c>
      <c r="P185" s="50" t="str">
        <f aca="false">IF($B185="","",IFERROR(ROUND(INDEX('Invoice &amp; Delivery Log'!$N$8:$N$157,MATCH($B185,'Invoice &amp; Delivery Log'!$A$8:$A$157,0))-$O185,2),""))</f>
        <v/>
      </c>
      <c r="Q185" s="53" t="str">
        <f aca="false">IF($A185="","",IF($R185="","OK","REVIEW"))</f>
        <v/>
      </c>
      <c r="R185" s="62" t="str">
        <f aca="false">IF($A185="","",TRIM(IF($B185="","Missing invoice ID. ","")&amp;IF(AND($B185&lt;&gt;"",COUNTIFS('Invoice &amp; Delivery Log'!$A$8:$A$157,$B185)=0),"Invoice ID not found in the invoice log. ","")&amp;IF(COUNTIFS('Payments Log'!$A$8:$A$207,$A185)&gt;1,"Duplicate payment ID. ","")&amp;IF(N($F185)&lt;=0,"Payment amount must be greater than zero. ","")&amp;IF($E185="","Missing payment date. ","")&amp;IF(AND($E185&lt;&gt;"",$J185&lt;&gt;"",$E185&lt;$J185),"Payment dated before the invoice date. ","")&amp;IF(AND($E185&lt;&gt;"",$E185&gt;Settings!$C$5),"Payment date is in the future. ","")&amp;IF(ROUND(N($P185),2)&lt;0,"Payment exceeds the invoice balance. ","")&amp;IF($G185="","Missing payment method. ","")))</f>
        <v/>
      </c>
    </row>
    <row r="186" customFormat="false" ht="15" hidden="false" customHeight="true" outlineLevel="0" collapsed="false">
      <c r="A186" s="44"/>
      <c r="B186" s="44"/>
      <c r="C186" s="63" t="str">
        <f aca="false">IF($B186="","",IFERROR(INDEX('Invoice &amp; Delivery Log'!$B$8:$B$157,MATCH($B186,'Invoice &amp; Delivery Log'!$A$8:$A$157,0)),""))</f>
        <v/>
      </c>
      <c r="D186" s="55" t="str">
        <f aca="false">IF($B186="","",IFERROR(INDEX('Invoice &amp; Delivery Log'!$C$8:$C$157,MATCH($B186,'Invoice &amp; Delivery Log'!$A$8:$A$157,0)),"INVOICE NOT FOUND"))</f>
        <v/>
      </c>
      <c r="E186" s="56"/>
      <c r="F186" s="58"/>
      <c r="G186" s="44"/>
      <c r="H186" s="45"/>
      <c r="I186" s="45"/>
      <c r="J186" s="64" t="str">
        <f aca="false">IF($B186="","",IFERROR(INDEX('Invoice &amp; Delivery Log'!$H$8:$H$157,MATCH($B186,'Invoice &amp; Delivery Log'!$A$8:$A$157,0)),""))</f>
        <v/>
      </c>
      <c r="K186" s="64" t="str">
        <f aca="false">IF($B186="","",IFERROR(INDEX('Invoice &amp; Delivery Log'!$M$8:$M$157,MATCH($B186,'Invoice &amp; Delivery Log'!$A$8:$A$157,0)),""))</f>
        <v/>
      </c>
      <c r="L186" s="47" t="str">
        <f aca="false">IF(OR($E186="",$J186=""),"",$E186-$J186)</f>
        <v/>
      </c>
      <c r="M186" s="47" t="str">
        <f aca="false">IF(OR($E186="",$K186=""),"",$E186-$K186)</f>
        <v/>
      </c>
      <c r="N186" s="36" t="str">
        <f aca="false">IF(OR($E186="",$K186=""),"n/a",IF($E186&lt;=$K186,"On Time","Late"))</f>
        <v>n/a</v>
      </c>
      <c r="O186" s="30" t="str">
        <f aca="false">IF($B186="","",SUMIFS($F$8:$F186,$B$8:$B186,$B186))</f>
        <v/>
      </c>
      <c r="P186" s="30" t="str">
        <f aca="false">IF($B186="","",IFERROR(ROUND(INDEX('Invoice &amp; Delivery Log'!$N$8:$N$157,MATCH($B186,'Invoice &amp; Delivery Log'!$A$8:$A$157,0))-$O186,2),""))</f>
        <v/>
      </c>
      <c r="Q186" s="36" t="str">
        <f aca="false">IF($A186="","",IF($R186="","OK","REVIEW"))</f>
        <v/>
      </c>
      <c r="R186" s="28" t="str">
        <f aca="false">IF($A186="","",TRIM(IF($B186="","Missing invoice ID. ","")&amp;IF(AND($B186&lt;&gt;"",COUNTIFS('Invoice &amp; Delivery Log'!$A$8:$A$157,$B186)=0),"Invoice ID not found in the invoice log. ","")&amp;IF(COUNTIFS('Payments Log'!$A$8:$A$207,$A186)&gt;1,"Duplicate payment ID. ","")&amp;IF(N($F186)&lt;=0,"Payment amount must be greater than zero. ","")&amp;IF($E186="","Missing payment date. ","")&amp;IF(AND($E186&lt;&gt;"",$J186&lt;&gt;"",$E186&lt;$J186),"Payment dated before the invoice date. ","")&amp;IF(AND($E186&lt;&gt;"",$E186&gt;Settings!$C$5),"Payment date is in the future. ","")&amp;IF(ROUND(N($P186),2)&lt;0,"Payment exceeds the invoice balance. ","")&amp;IF($G186="","Missing payment method. ","")))</f>
        <v/>
      </c>
    </row>
    <row r="187" customFormat="false" ht="15" hidden="false" customHeight="true" outlineLevel="0" collapsed="false">
      <c r="A187" s="44"/>
      <c r="B187" s="44"/>
      <c r="C187" s="65" t="str">
        <f aca="false">IF($B187="","",IFERROR(INDEX('Invoice &amp; Delivery Log'!$B$8:$B$157,MATCH($B187,'Invoice &amp; Delivery Log'!$A$8:$A$157,0)),""))</f>
        <v/>
      </c>
      <c r="D187" s="59" t="str">
        <f aca="false">IF($B187="","",IFERROR(INDEX('Invoice &amp; Delivery Log'!$C$8:$C$157,MATCH($B187,'Invoice &amp; Delivery Log'!$A$8:$A$157,0)),"INVOICE NOT FOUND"))</f>
        <v/>
      </c>
      <c r="E187" s="56"/>
      <c r="F187" s="58"/>
      <c r="G187" s="44"/>
      <c r="H187" s="45"/>
      <c r="I187" s="45"/>
      <c r="J187" s="66" t="str">
        <f aca="false">IF($B187="","",IFERROR(INDEX('Invoice &amp; Delivery Log'!$H$8:$H$157,MATCH($B187,'Invoice &amp; Delivery Log'!$A$8:$A$157,0)),""))</f>
        <v/>
      </c>
      <c r="K187" s="66" t="str">
        <f aca="false">IF($B187="","",IFERROR(INDEX('Invoice &amp; Delivery Log'!$M$8:$M$157,MATCH($B187,'Invoice &amp; Delivery Log'!$A$8:$A$157,0)),""))</f>
        <v/>
      </c>
      <c r="L187" s="52" t="str">
        <f aca="false">IF(OR($E187="",$J187=""),"",$E187-$J187)</f>
        <v/>
      </c>
      <c r="M187" s="52" t="str">
        <f aca="false">IF(OR($E187="",$K187=""),"",$E187-$K187)</f>
        <v/>
      </c>
      <c r="N187" s="53" t="str">
        <f aca="false">IF(OR($E187="",$K187=""),"n/a",IF($E187&lt;=$K187,"On Time","Late"))</f>
        <v>n/a</v>
      </c>
      <c r="O187" s="50" t="str">
        <f aca="false">IF($B187="","",SUMIFS($F$8:$F187,$B$8:$B187,$B187))</f>
        <v/>
      </c>
      <c r="P187" s="50" t="str">
        <f aca="false">IF($B187="","",IFERROR(ROUND(INDEX('Invoice &amp; Delivery Log'!$N$8:$N$157,MATCH($B187,'Invoice &amp; Delivery Log'!$A$8:$A$157,0))-$O187,2),""))</f>
        <v/>
      </c>
      <c r="Q187" s="53" t="str">
        <f aca="false">IF($A187="","",IF($R187="","OK","REVIEW"))</f>
        <v/>
      </c>
      <c r="R187" s="62" t="str">
        <f aca="false">IF($A187="","",TRIM(IF($B187="","Missing invoice ID. ","")&amp;IF(AND($B187&lt;&gt;"",COUNTIFS('Invoice &amp; Delivery Log'!$A$8:$A$157,$B187)=0),"Invoice ID not found in the invoice log. ","")&amp;IF(COUNTIFS('Payments Log'!$A$8:$A$207,$A187)&gt;1,"Duplicate payment ID. ","")&amp;IF(N($F187)&lt;=0,"Payment amount must be greater than zero. ","")&amp;IF($E187="","Missing payment date. ","")&amp;IF(AND($E187&lt;&gt;"",$J187&lt;&gt;"",$E187&lt;$J187),"Payment dated before the invoice date. ","")&amp;IF(AND($E187&lt;&gt;"",$E187&gt;Settings!$C$5),"Payment date is in the future. ","")&amp;IF(ROUND(N($P187),2)&lt;0,"Payment exceeds the invoice balance. ","")&amp;IF($G187="","Missing payment method. ","")))</f>
        <v/>
      </c>
    </row>
    <row r="188" customFormat="false" ht="15" hidden="false" customHeight="true" outlineLevel="0" collapsed="false">
      <c r="A188" s="44"/>
      <c r="B188" s="44"/>
      <c r="C188" s="63" t="str">
        <f aca="false">IF($B188="","",IFERROR(INDEX('Invoice &amp; Delivery Log'!$B$8:$B$157,MATCH($B188,'Invoice &amp; Delivery Log'!$A$8:$A$157,0)),""))</f>
        <v/>
      </c>
      <c r="D188" s="55" t="str">
        <f aca="false">IF($B188="","",IFERROR(INDEX('Invoice &amp; Delivery Log'!$C$8:$C$157,MATCH($B188,'Invoice &amp; Delivery Log'!$A$8:$A$157,0)),"INVOICE NOT FOUND"))</f>
        <v/>
      </c>
      <c r="E188" s="56"/>
      <c r="F188" s="58"/>
      <c r="G188" s="44"/>
      <c r="H188" s="45"/>
      <c r="I188" s="45"/>
      <c r="J188" s="64" t="str">
        <f aca="false">IF($B188="","",IFERROR(INDEX('Invoice &amp; Delivery Log'!$H$8:$H$157,MATCH($B188,'Invoice &amp; Delivery Log'!$A$8:$A$157,0)),""))</f>
        <v/>
      </c>
      <c r="K188" s="64" t="str">
        <f aca="false">IF($B188="","",IFERROR(INDEX('Invoice &amp; Delivery Log'!$M$8:$M$157,MATCH($B188,'Invoice &amp; Delivery Log'!$A$8:$A$157,0)),""))</f>
        <v/>
      </c>
      <c r="L188" s="47" t="str">
        <f aca="false">IF(OR($E188="",$J188=""),"",$E188-$J188)</f>
        <v/>
      </c>
      <c r="M188" s="47" t="str">
        <f aca="false">IF(OR($E188="",$K188=""),"",$E188-$K188)</f>
        <v/>
      </c>
      <c r="N188" s="36" t="str">
        <f aca="false">IF(OR($E188="",$K188=""),"n/a",IF($E188&lt;=$K188,"On Time","Late"))</f>
        <v>n/a</v>
      </c>
      <c r="O188" s="30" t="str">
        <f aca="false">IF($B188="","",SUMIFS($F$8:$F188,$B$8:$B188,$B188))</f>
        <v/>
      </c>
      <c r="P188" s="30" t="str">
        <f aca="false">IF($B188="","",IFERROR(ROUND(INDEX('Invoice &amp; Delivery Log'!$N$8:$N$157,MATCH($B188,'Invoice &amp; Delivery Log'!$A$8:$A$157,0))-$O188,2),""))</f>
        <v/>
      </c>
      <c r="Q188" s="36" t="str">
        <f aca="false">IF($A188="","",IF($R188="","OK","REVIEW"))</f>
        <v/>
      </c>
      <c r="R188" s="28" t="str">
        <f aca="false">IF($A188="","",TRIM(IF($B188="","Missing invoice ID. ","")&amp;IF(AND($B188&lt;&gt;"",COUNTIFS('Invoice &amp; Delivery Log'!$A$8:$A$157,$B188)=0),"Invoice ID not found in the invoice log. ","")&amp;IF(COUNTIFS('Payments Log'!$A$8:$A$207,$A188)&gt;1,"Duplicate payment ID. ","")&amp;IF(N($F188)&lt;=0,"Payment amount must be greater than zero. ","")&amp;IF($E188="","Missing payment date. ","")&amp;IF(AND($E188&lt;&gt;"",$J188&lt;&gt;"",$E188&lt;$J188),"Payment dated before the invoice date. ","")&amp;IF(AND($E188&lt;&gt;"",$E188&gt;Settings!$C$5),"Payment date is in the future. ","")&amp;IF(ROUND(N($P188),2)&lt;0,"Payment exceeds the invoice balance. ","")&amp;IF($G188="","Missing payment method. ","")))</f>
        <v/>
      </c>
    </row>
    <row r="189" customFormat="false" ht="15" hidden="false" customHeight="true" outlineLevel="0" collapsed="false">
      <c r="A189" s="44"/>
      <c r="B189" s="44"/>
      <c r="C189" s="65" t="str">
        <f aca="false">IF($B189="","",IFERROR(INDEX('Invoice &amp; Delivery Log'!$B$8:$B$157,MATCH($B189,'Invoice &amp; Delivery Log'!$A$8:$A$157,0)),""))</f>
        <v/>
      </c>
      <c r="D189" s="59" t="str">
        <f aca="false">IF($B189="","",IFERROR(INDEX('Invoice &amp; Delivery Log'!$C$8:$C$157,MATCH($B189,'Invoice &amp; Delivery Log'!$A$8:$A$157,0)),"INVOICE NOT FOUND"))</f>
        <v/>
      </c>
      <c r="E189" s="56"/>
      <c r="F189" s="58"/>
      <c r="G189" s="44"/>
      <c r="H189" s="45"/>
      <c r="I189" s="45"/>
      <c r="J189" s="66" t="str">
        <f aca="false">IF($B189="","",IFERROR(INDEX('Invoice &amp; Delivery Log'!$H$8:$H$157,MATCH($B189,'Invoice &amp; Delivery Log'!$A$8:$A$157,0)),""))</f>
        <v/>
      </c>
      <c r="K189" s="66" t="str">
        <f aca="false">IF($B189="","",IFERROR(INDEX('Invoice &amp; Delivery Log'!$M$8:$M$157,MATCH($B189,'Invoice &amp; Delivery Log'!$A$8:$A$157,0)),""))</f>
        <v/>
      </c>
      <c r="L189" s="52" t="str">
        <f aca="false">IF(OR($E189="",$J189=""),"",$E189-$J189)</f>
        <v/>
      </c>
      <c r="M189" s="52" t="str">
        <f aca="false">IF(OR($E189="",$K189=""),"",$E189-$K189)</f>
        <v/>
      </c>
      <c r="N189" s="53" t="str">
        <f aca="false">IF(OR($E189="",$K189=""),"n/a",IF($E189&lt;=$K189,"On Time","Late"))</f>
        <v>n/a</v>
      </c>
      <c r="O189" s="50" t="str">
        <f aca="false">IF($B189="","",SUMIFS($F$8:$F189,$B$8:$B189,$B189))</f>
        <v/>
      </c>
      <c r="P189" s="50" t="str">
        <f aca="false">IF($B189="","",IFERROR(ROUND(INDEX('Invoice &amp; Delivery Log'!$N$8:$N$157,MATCH($B189,'Invoice &amp; Delivery Log'!$A$8:$A$157,0))-$O189,2),""))</f>
        <v/>
      </c>
      <c r="Q189" s="53" t="str">
        <f aca="false">IF($A189="","",IF($R189="","OK","REVIEW"))</f>
        <v/>
      </c>
      <c r="R189" s="62" t="str">
        <f aca="false">IF($A189="","",TRIM(IF($B189="","Missing invoice ID. ","")&amp;IF(AND($B189&lt;&gt;"",COUNTIFS('Invoice &amp; Delivery Log'!$A$8:$A$157,$B189)=0),"Invoice ID not found in the invoice log. ","")&amp;IF(COUNTIFS('Payments Log'!$A$8:$A$207,$A189)&gt;1,"Duplicate payment ID. ","")&amp;IF(N($F189)&lt;=0,"Payment amount must be greater than zero. ","")&amp;IF($E189="","Missing payment date. ","")&amp;IF(AND($E189&lt;&gt;"",$J189&lt;&gt;"",$E189&lt;$J189),"Payment dated before the invoice date. ","")&amp;IF(AND($E189&lt;&gt;"",$E189&gt;Settings!$C$5),"Payment date is in the future. ","")&amp;IF(ROUND(N($P189),2)&lt;0,"Payment exceeds the invoice balance. ","")&amp;IF($G189="","Missing payment method. ","")))</f>
        <v/>
      </c>
    </row>
    <row r="190" customFormat="false" ht="15" hidden="false" customHeight="true" outlineLevel="0" collapsed="false">
      <c r="A190" s="44"/>
      <c r="B190" s="44"/>
      <c r="C190" s="63" t="str">
        <f aca="false">IF($B190="","",IFERROR(INDEX('Invoice &amp; Delivery Log'!$B$8:$B$157,MATCH($B190,'Invoice &amp; Delivery Log'!$A$8:$A$157,0)),""))</f>
        <v/>
      </c>
      <c r="D190" s="55" t="str">
        <f aca="false">IF($B190="","",IFERROR(INDEX('Invoice &amp; Delivery Log'!$C$8:$C$157,MATCH($B190,'Invoice &amp; Delivery Log'!$A$8:$A$157,0)),"INVOICE NOT FOUND"))</f>
        <v/>
      </c>
      <c r="E190" s="56"/>
      <c r="F190" s="58"/>
      <c r="G190" s="44"/>
      <c r="H190" s="45"/>
      <c r="I190" s="45"/>
      <c r="J190" s="64" t="str">
        <f aca="false">IF($B190="","",IFERROR(INDEX('Invoice &amp; Delivery Log'!$H$8:$H$157,MATCH($B190,'Invoice &amp; Delivery Log'!$A$8:$A$157,0)),""))</f>
        <v/>
      </c>
      <c r="K190" s="64" t="str">
        <f aca="false">IF($B190="","",IFERROR(INDEX('Invoice &amp; Delivery Log'!$M$8:$M$157,MATCH($B190,'Invoice &amp; Delivery Log'!$A$8:$A$157,0)),""))</f>
        <v/>
      </c>
      <c r="L190" s="47" t="str">
        <f aca="false">IF(OR($E190="",$J190=""),"",$E190-$J190)</f>
        <v/>
      </c>
      <c r="M190" s="47" t="str">
        <f aca="false">IF(OR($E190="",$K190=""),"",$E190-$K190)</f>
        <v/>
      </c>
      <c r="N190" s="36" t="str">
        <f aca="false">IF(OR($E190="",$K190=""),"n/a",IF($E190&lt;=$K190,"On Time","Late"))</f>
        <v>n/a</v>
      </c>
      <c r="O190" s="30" t="str">
        <f aca="false">IF($B190="","",SUMIFS($F$8:$F190,$B$8:$B190,$B190))</f>
        <v/>
      </c>
      <c r="P190" s="30" t="str">
        <f aca="false">IF($B190="","",IFERROR(ROUND(INDEX('Invoice &amp; Delivery Log'!$N$8:$N$157,MATCH($B190,'Invoice &amp; Delivery Log'!$A$8:$A$157,0))-$O190,2),""))</f>
        <v/>
      </c>
      <c r="Q190" s="36" t="str">
        <f aca="false">IF($A190="","",IF($R190="","OK","REVIEW"))</f>
        <v/>
      </c>
      <c r="R190" s="28" t="str">
        <f aca="false">IF($A190="","",TRIM(IF($B190="","Missing invoice ID. ","")&amp;IF(AND($B190&lt;&gt;"",COUNTIFS('Invoice &amp; Delivery Log'!$A$8:$A$157,$B190)=0),"Invoice ID not found in the invoice log. ","")&amp;IF(COUNTIFS('Payments Log'!$A$8:$A$207,$A190)&gt;1,"Duplicate payment ID. ","")&amp;IF(N($F190)&lt;=0,"Payment amount must be greater than zero. ","")&amp;IF($E190="","Missing payment date. ","")&amp;IF(AND($E190&lt;&gt;"",$J190&lt;&gt;"",$E190&lt;$J190),"Payment dated before the invoice date. ","")&amp;IF(AND($E190&lt;&gt;"",$E190&gt;Settings!$C$5),"Payment date is in the future. ","")&amp;IF(ROUND(N($P190),2)&lt;0,"Payment exceeds the invoice balance. ","")&amp;IF($G190="","Missing payment method. ","")))</f>
        <v/>
      </c>
    </row>
    <row r="191" customFormat="false" ht="15" hidden="false" customHeight="true" outlineLevel="0" collapsed="false">
      <c r="A191" s="44"/>
      <c r="B191" s="44"/>
      <c r="C191" s="65" t="str">
        <f aca="false">IF($B191="","",IFERROR(INDEX('Invoice &amp; Delivery Log'!$B$8:$B$157,MATCH($B191,'Invoice &amp; Delivery Log'!$A$8:$A$157,0)),""))</f>
        <v/>
      </c>
      <c r="D191" s="59" t="str">
        <f aca="false">IF($B191="","",IFERROR(INDEX('Invoice &amp; Delivery Log'!$C$8:$C$157,MATCH($B191,'Invoice &amp; Delivery Log'!$A$8:$A$157,0)),"INVOICE NOT FOUND"))</f>
        <v/>
      </c>
      <c r="E191" s="56"/>
      <c r="F191" s="58"/>
      <c r="G191" s="44"/>
      <c r="H191" s="45"/>
      <c r="I191" s="45"/>
      <c r="J191" s="66" t="str">
        <f aca="false">IF($B191="","",IFERROR(INDEX('Invoice &amp; Delivery Log'!$H$8:$H$157,MATCH($B191,'Invoice &amp; Delivery Log'!$A$8:$A$157,0)),""))</f>
        <v/>
      </c>
      <c r="K191" s="66" t="str">
        <f aca="false">IF($B191="","",IFERROR(INDEX('Invoice &amp; Delivery Log'!$M$8:$M$157,MATCH($B191,'Invoice &amp; Delivery Log'!$A$8:$A$157,0)),""))</f>
        <v/>
      </c>
      <c r="L191" s="52" t="str">
        <f aca="false">IF(OR($E191="",$J191=""),"",$E191-$J191)</f>
        <v/>
      </c>
      <c r="M191" s="52" t="str">
        <f aca="false">IF(OR($E191="",$K191=""),"",$E191-$K191)</f>
        <v/>
      </c>
      <c r="N191" s="53" t="str">
        <f aca="false">IF(OR($E191="",$K191=""),"n/a",IF($E191&lt;=$K191,"On Time","Late"))</f>
        <v>n/a</v>
      </c>
      <c r="O191" s="50" t="str">
        <f aca="false">IF($B191="","",SUMIFS($F$8:$F191,$B$8:$B191,$B191))</f>
        <v/>
      </c>
      <c r="P191" s="50" t="str">
        <f aca="false">IF($B191="","",IFERROR(ROUND(INDEX('Invoice &amp; Delivery Log'!$N$8:$N$157,MATCH($B191,'Invoice &amp; Delivery Log'!$A$8:$A$157,0))-$O191,2),""))</f>
        <v/>
      </c>
      <c r="Q191" s="53" t="str">
        <f aca="false">IF($A191="","",IF($R191="","OK","REVIEW"))</f>
        <v/>
      </c>
      <c r="R191" s="62" t="str">
        <f aca="false">IF($A191="","",TRIM(IF($B191="","Missing invoice ID. ","")&amp;IF(AND($B191&lt;&gt;"",COUNTIFS('Invoice &amp; Delivery Log'!$A$8:$A$157,$B191)=0),"Invoice ID not found in the invoice log. ","")&amp;IF(COUNTIFS('Payments Log'!$A$8:$A$207,$A191)&gt;1,"Duplicate payment ID. ","")&amp;IF(N($F191)&lt;=0,"Payment amount must be greater than zero. ","")&amp;IF($E191="","Missing payment date. ","")&amp;IF(AND($E191&lt;&gt;"",$J191&lt;&gt;"",$E191&lt;$J191),"Payment dated before the invoice date. ","")&amp;IF(AND($E191&lt;&gt;"",$E191&gt;Settings!$C$5),"Payment date is in the future. ","")&amp;IF(ROUND(N($P191),2)&lt;0,"Payment exceeds the invoice balance. ","")&amp;IF($G191="","Missing payment method. ","")))</f>
        <v/>
      </c>
    </row>
    <row r="192" customFormat="false" ht="15" hidden="false" customHeight="true" outlineLevel="0" collapsed="false">
      <c r="A192" s="44"/>
      <c r="B192" s="44"/>
      <c r="C192" s="63" t="str">
        <f aca="false">IF($B192="","",IFERROR(INDEX('Invoice &amp; Delivery Log'!$B$8:$B$157,MATCH($B192,'Invoice &amp; Delivery Log'!$A$8:$A$157,0)),""))</f>
        <v/>
      </c>
      <c r="D192" s="55" t="str">
        <f aca="false">IF($B192="","",IFERROR(INDEX('Invoice &amp; Delivery Log'!$C$8:$C$157,MATCH($B192,'Invoice &amp; Delivery Log'!$A$8:$A$157,0)),"INVOICE NOT FOUND"))</f>
        <v/>
      </c>
      <c r="E192" s="56"/>
      <c r="F192" s="58"/>
      <c r="G192" s="44"/>
      <c r="H192" s="45"/>
      <c r="I192" s="45"/>
      <c r="J192" s="64" t="str">
        <f aca="false">IF($B192="","",IFERROR(INDEX('Invoice &amp; Delivery Log'!$H$8:$H$157,MATCH($B192,'Invoice &amp; Delivery Log'!$A$8:$A$157,0)),""))</f>
        <v/>
      </c>
      <c r="K192" s="64" t="str">
        <f aca="false">IF($B192="","",IFERROR(INDEX('Invoice &amp; Delivery Log'!$M$8:$M$157,MATCH($B192,'Invoice &amp; Delivery Log'!$A$8:$A$157,0)),""))</f>
        <v/>
      </c>
      <c r="L192" s="47" t="str">
        <f aca="false">IF(OR($E192="",$J192=""),"",$E192-$J192)</f>
        <v/>
      </c>
      <c r="M192" s="47" t="str">
        <f aca="false">IF(OR($E192="",$K192=""),"",$E192-$K192)</f>
        <v/>
      </c>
      <c r="N192" s="36" t="str">
        <f aca="false">IF(OR($E192="",$K192=""),"n/a",IF($E192&lt;=$K192,"On Time","Late"))</f>
        <v>n/a</v>
      </c>
      <c r="O192" s="30" t="str">
        <f aca="false">IF($B192="","",SUMIFS($F$8:$F192,$B$8:$B192,$B192))</f>
        <v/>
      </c>
      <c r="P192" s="30" t="str">
        <f aca="false">IF($B192="","",IFERROR(ROUND(INDEX('Invoice &amp; Delivery Log'!$N$8:$N$157,MATCH($B192,'Invoice &amp; Delivery Log'!$A$8:$A$157,0))-$O192,2),""))</f>
        <v/>
      </c>
      <c r="Q192" s="36" t="str">
        <f aca="false">IF($A192="","",IF($R192="","OK","REVIEW"))</f>
        <v/>
      </c>
      <c r="R192" s="28" t="str">
        <f aca="false">IF($A192="","",TRIM(IF($B192="","Missing invoice ID. ","")&amp;IF(AND($B192&lt;&gt;"",COUNTIFS('Invoice &amp; Delivery Log'!$A$8:$A$157,$B192)=0),"Invoice ID not found in the invoice log. ","")&amp;IF(COUNTIFS('Payments Log'!$A$8:$A$207,$A192)&gt;1,"Duplicate payment ID. ","")&amp;IF(N($F192)&lt;=0,"Payment amount must be greater than zero. ","")&amp;IF($E192="","Missing payment date. ","")&amp;IF(AND($E192&lt;&gt;"",$J192&lt;&gt;"",$E192&lt;$J192),"Payment dated before the invoice date. ","")&amp;IF(AND($E192&lt;&gt;"",$E192&gt;Settings!$C$5),"Payment date is in the future. ","")&amp;IF(ROUND(N($P192),2)&lt;0,"Payment exceeds the invoice balance. ","")&amp;IF($G192="","Missing payment method. ","")))</f>
        <v/>
      </c>
    </row>
    <row r="193" customFormat="false" ht="15" hidden="false" customHeight="true" outlineLevel="0" collapsed="false">
      <c r="A193" s="44"/>
      <c r="B193" s="44"/>
      <c r="C193" s="65" t="str">
        <f aca="false">IF($B193="","",IFERROR(INDEX('Invoice &amp; Delivery Log'!$B$8:$B$157,MATCH($B193,'Invoice &amp; Delivery Log'!$A$8:$A$157,0)),""))</f>
        <v/>
      </c>
      <c r="D193" s="59" t="str">
        <f aca="false">IF($B193="","",IFERROR(INDEX('Invoice &amp; Delivery Log'!$C$8:$C$157,MATCH($B193,'Invoice &amp; Delivery Log'!$A$8:$A$157,0)),"INVOICE NOT FOUND"))</f>
        <v/>
      </c>
      <c r="E193" s="56"/>
      <c r="F193" s="58"/>
      <c r="G193" s="44"/>
      <c r="H193" s="45"/>
      <c r="I193" s="45"/>
      <c r="J193" s="66" t="str">
        <f aca="false">IF($B193="","",IFERROR(INDEX('Invoice &amp; Delivery Log'!$H$8:$H$157,MATCH($B193,'Invoice &amp; Delivery Log'!$A$8:$A$157,0)),""))</f>
        <v/>
      </c>
      <c r="K193" s="66" t="str">
        <f aca="false">IF($B193="","",IFERROR(INDEX('Invoice &amp; Delivery Log'!$M$8:$M$157,MATCH($B193,'Invoice &amp; Delivery Log'!$A$8:$A$157,0)),""))</f>
        <v/>
      </c>
      <c r="L193" s="52" t="str">
        <f aca="false">IF(OR($E193="",$J193=""),"",$E193-$J193)</f>
        <v/>
      </c>
      <c r="M193" s="52" t="str">
        <f aca="false">IF(OR($E193="",$K193=""),"",$E193-$K193)</f>
        <v/>
      </c>
      <c r="N193" s="53" t="str">
        <f aca="false">IF(OR($E193="",$K193=""),"n/a",IF($E193&lt;=$K193,"On Time","Late"))</f>
        <v>n/a</v>
      </c>
      <c r="O193" s="50" t="str">
        <f aca="false">IF($B193="","",SUMIFS($F$8:$F193,$B$8:$B193,$B193))</f>
        <v/>
      </c>
      <c r="P193" s="50" t="str">
        <f aca="false">IF($B193="","",IFERROR(ROUND(INDEX('Invoice &amp; Delivery Log'!$N$8:$N$157,MATCH($B193,'Invoice &amp; Delivery Log'!$A$8:$A$157,0))-$O193,2),""))</f>
        <v/>
      </c>
      <c r="Q193" s="53" t="str">
        <f aca="false">IF($A193="","",IF($R193="","OK","REVIEW"))</f>
        <v/>
      </c>
      <c r="R193" s="62" t="str">
        <f aca="false">IF($A193="","",TRIM(IF($B193="","Missing invoice ID. ","")&amp;IF(AND($B193&lt;&gt;"",COUNTIFS('Invoice &amp; Delivery Log'!$A$8:$A$157,$B193)=0),"Invoice ID not found in the invoice log. ","")&amp;IF(COUNTIFS('Payments Log'!$A$8:$A$207,$A193)&gt;1,"Duplicate payment ID. ","")&amp;IF(N($F193)&lt;=0,"Payment amount must be greater than zero. ","")&amp;IF($E193="","Missing payment date. ","")&amp;IF(AND($E193&lt;&gt;"",$J193&lt;&gt;"",$E193&lt;$J193),"Payment dated before the invoice date. ","")&amp;IF(AND($E193&lt;&gt;"",$E193&gt;Settings!$C$5),"Payment date is in the future. ","")&amp;IF(ROUND(N($P193),2)&lt;0,"Payment exceeds the invoice balance. ","")&amp;IF($G193="","Missing payment method. ","")))</f>
        <v/>
      </c>
    </row>
    <row r="194" customFormat="false" ht="15" hidden="false" customHeight="true" outlineLevel="0" collapsed="false">
      <c r="A194" s="44"/>
      <c r="B194" s="44"/>
      <c r="C194" s="63" t="str">
        <f aca="false">IF($B194="","",IFERROR(INDEX('Invoice &amp; Delivery Log'!$B$8:$B$157,MATCH($B194,'Invoice &amp; Delivery Log'!$A$8:$A$157,0)),""))</f>
        <v/>
      </c>
      <c r="D194" s="55" t="str">
        <f aca="false">IF($B194="","",IFERROR(INDEX('Invoice &amp; Delivery Log'!$C$8:$C$157,MATCH($B194,'Invoice &amp; Delivery Log'!$A$8:$A$157,0)),"INVOICE NOT FOUND"))</f>
        <v/>
      </c>
      <c r="E194" s="56"/>
      <c r="F194" s="58"/>
      <c r="G194" s="44"/>
      <c r="H194" s="45"/>
      <c r="I194" s="45"/>
      <c r="J194" s="64" t="str">
        <f aca="false">IF($B194="","",IFERROR(INDEX('Invoice &amp; Delivery Log'!$H$8:$H$157,MATCH($B194,'Invoice &amp; Delivery Log'!$A$8:$A$157,0)),""))</f>
        <v/>
      </c>
      <c r="K194" s="64" t="str">
        <f aca="false">IF($B194="","",IFERROR(INDEX('Invoice &amp; Delivery Log'!$M$8:$M$157,MATCH($B194,'Invoice &amp; Delivery Log'!$A$8:$A$157,0)),""))</f>
        <v/>
      </c>
      <c r="L194" s="47" t="str">
        <f aca="false">IF(OR($E194="",$J194=""),"",$E194-$J194)</f>
        <v/>
      </c>
      <c r="M194" s="47" t="str">
        <f aca="false">IF(OR($E194="",$K194=""),"",$E194-$K194)</f>
        <v/>
      </c>
      <c r="N194" s="36" t="str">
        <f aca="false">IF(OR($E194="",$K194=""),"n/a",IF($E194&lt;=$K194,"On Time","Late"))</f>
        <v>n/a</v>
      </c>
      <c r="O194" s="30" t="str">
        <f aca="false">IF($B194="","",SUMIFS($F$8:$F194,$B$8:$B194,$B194))</f>
        <v/>
      </c>
      <c r="P194" s="30" t="str">
        <f aca="false">IF($B194="","",IFERROR(ROUND(INDEX('Invoice &amp; Delivery Log'!$N$8:$N$157,MATCH($B194,'Invoice &amp; Delivery Log'!$A$8:$A$157,0))-$O194,2),""))</f>
        <v/>
      </c>
      <c r="Q194" s="36" t="str">
        <f aca="false">IF($A194="","",IF($R194="","OK","REVIEW"))</f>
        <v/>
      </c>
      <c r="R194" s="28" t="str">
        <f aca="false">IF($A194="","",TRIM(IF($B194="","Missing invoice ID. ","")&amp;IF(AND($B194&lt;&gt;"",COUNTIFS('Invoice &amp; Delivery Log'!$A$8:$A$157,$B194)=0),"Invoice ID not found in the invoice log. ","")&amp;IF(COUNTIFS('Payments Log'!$A$8:$A$207,$A194)&gt;1,"Duplicate payment ID. ","")&amp;IF(N($F194)&lt;=0,"Payment amount must be greater than zero. ","")&amp;IF($E194="","Missing payment date. ","")&amp;IF(AND($E194&lt;&gt;"",$J194&lt;&gt;"",$E194&lt;$J194),"Payment dated before the invoice date. ","")&amp;IF(AND($E194&lt;&gt;"",$E194&gt;Settings!$C$5),"Payment date is in the future. ","")&amp;IF(ROUND(N($P194),2)&lt;0,"Payment exceeds the invoice balance. ","")&amp;IF($G194="","Missing payment method. ","")))</f>
        <v/>
      </c>
    </row>
    <row r="195" customFormat="false" ht="15" hidden="false" customHeight="true" outlineLevel="0" collapsed="false">
      <c r="A195" s="44"/>
      <c r="B195" s="44"/>
      <c r="C195" s="65" t="str">
        <f aca="false">IF($B195="","",IFERROR(INDEX('Invoice &amp; Delivery Log'!$B$8:$B$157,MATCH($B195,'Invoice &amp; Delivery Log'!$A$8:$A$157,0)),""))</f>
        <v/>
      </c>
      <c r="D195" s="59" t="str">
        <f aca="false">IF($B195="","",IFERROR(INDEX('Invoice &amp; Delivery Log'!$C$8:$C$157,MATCH($B195,'Invoice &amp; Delivery Log'!$A$8:$A$157,0)),"INVOICE NOT FOUND"))</f>
        <v/>
      </c>
      <c r="E195" s="56"/>
      <c r="F195" s="58"/>
      <c r="G195" s="44"/>
      <c r="H195" s="45"/>
      <c r="I195" s="45"/>
      <c r="J195" s="66" t="str">
        <f aca="false">IF($B195="","",IFERROR(INDEX('Invoice &amp; Delivery Log'!$H$8:$H$157,MATCH($B195,'Invoice &amp; Delivery Log'!$A$8:$A$157,0)),""))</f>
        <v/>
      </c>
      <c r="K195" s="66" t="str">
        <f aca="false">IF($B195="","",IFERROR(INDEX('Invoice &amp; Delivery Log'!$M$8:$M$157,MATCH($B195,'Invoice &amp; Delivery Log'!$A$8:$A$157,0)),""))</f>
        <v/>
      </c>
      <c r="L195" s="52" t="str">
        <f aca="false">IF(OR($E195="",$J195=""),"",$E195-$J195)</f>
        <v/>
      </c>
      <c r="M195" s="52" t="str">
        <f aca="false">IF(OR($E195="",$K195=""),"",$E195-$K195)</f>
        <v/>
      </c>
      <c r="N195" s="53" t="str">
        <f aca="false">IF(OR($E195="",$K195=""),"n/a",IF($E195&lt;=$K195,"On Time","Late"))</f>
        <v>n/a</v>
      </c>
      <c r="O195" s="50" t="str">
        <f aca="false">IF($B195="","",SUMIFS($F$8:$F195,$B$8:$B195,$B195))</f>
        <v/>
      </c>
      <c r="P195" s="50" t="str">
        <f aca="false">IF($B195="","",IFERROR(ROUND(INDEX('Invoice &amp; Delivery Log'!$N$8:$N$157,MATCH($B195,'Invoice &amp; Delivery Log'!$A$8:$A$157,0))-$O195,2),""))</f>
        <v/>
      </c>
      <c r="Q195" s="53" t="str">
        <f aca="false">IF($A195="","",IF($R195="","OK","REVIEW"))</f>
        <v/>
      </c>
      <c r="R195" s="62" t="str">
        <f aca="false">IF($A195="","",TRIM(IF($B195="","Missing invoice ID. ","")&amp;IF(AND($B195&lt;&gt;"",COUNTIFS('Invoice &amp; Delivery Log'!$A$8:$A$157,$B195)=0),"Invoice ID not found in the invoice log. ","")&amp;IF(COUNTIFS('Payments Log'!$A$8:$A$207,$A195)&gt;1,"Duplicate payment ID. ","")&amp;IF(N($F195)&lt;=0,"Payment amount must be greater than zero. ","")&amp;IF($E195="","Missing payment date. ","")&amp;IF(AND($E195&lt;&gt;"",$J195&lt;&gt;"",$E195&lt;$J195),"Payment dated before the invoice date. ","")&amp;IF(AND($E195&lt;&gt;"",$E195&gt;Settings!$C$5),"Payment date is in the future. ","")&amp;IF(ROUND(N($P195),2)&lt;0,"Payment exceeds the invoice balance. ","")&amp;IF($G195="","Missing payment method. ","")))</f>
        <v/>
      </c>
    </row>
    <row r="196" customFormat="false" ht="15" hidden="false" customHeight="true" outlineLevel="0" collapsed="false">
      <c r="A196" s="44"/>
      <c r="B196" s="44"/>
      <c r="C196" s="63" t="str">
        <f aca="false">IF($B196="","",IFERROR(INDEX('Invoice &amp; Delivery Log'!$B$8:$B$157,MATCH($B196,'Invoice &amp; Delivery Log'!$A$8:$A$157,0)),""))</f>
        <v/>
      </c>
      <c r="D196" s="55" t="str">
        <f aca="false">IF($B196="","",IFERROR(INDEX('Invoice &amp; Delivery Log'!$C$8:$C$157,MATCH($B196,'Invoice &amp; Delivery Log'!$A$8:$A$157,0)),"INVOICE NOT FOUND"))</f>
        <v/>
      </c>
      <c r="E196" s="56"/>
      <c r="F196" s="58"/>
      <c r="G196" s="44"/>
      <c r="H196" s="45"/>
      <c r="I196" s="45"/>
      <c r="J196" s="64" t="str">
        <f aca="false">IF($B196="","",IFERROR(INDEX('Invoice &amp; Delivery Log'!$H$8:$H$157,MATCH($B196,'Invoice &amp; Delivery Log'!$A$8:$A$157,0)),""))</f>
        <v/>
      </c>
      <c r="K196" s="64" t="str">
        <f aca="false">IF($B196="","",IFERROR(INDEX('Invoice &amp; Delivery Log'!$M$8:$M$157,MATCH($B196,'Invoice &amp; Delivery Log'!$A$8:$A$157,0)),""))</f>
        <v/>
      </c>
      <c r="L196" s="47" t="str">
        <f aca="false">IF(OR($E196="",$J196=""),"",$E196-$J196)</f>
        <v/>
      </c>
      <c r="M196" s="47" t="str">
        <f aca="false">IF(OR($E196="",$K196=""),"",$E196-$K196)</f>
        <v/>
      </c>
      <c r="N196" s="36" t="str">
        <f aca="false">IF(OR($E196="",$K196=""),"n/a",IF($E196&lt;=$K196,"On Time","Late"))</f>
        <v>n/a</v>
      </c>
      <c r="O196" s="30" t="str">
        <f aca="false">IF($B196="","",SUMIFS($F$8:$F196,$B$8:$B196,$B196))</f>
        <v/>
      </c>
      <c r="P196" s="30" t="str">
        <f aca="false">IF($B196="","",IFERROR(ROUND(INDEX('Invoice &amp; Delivery Log'!$N$8:$N$157,MATCH($B196,'Invoice &amp; Delivery Log'!$A$8:$A$157,0))-$O196,2),""))</f>
        <v/>
      </c>
      <c r="Q196" s="36" t="str">
        <f aca="false">IF($A196="","",IF($R196="","OK","REVIEW"))</f>
        <v/>
      </c>
      <c r="R196" s="28" t="str">
        <f aca="false">IF($A196="","",TRIM(IF($B196="","Missing invoice ID. ","")&amp;IF(AND($B196&lt;&gt;"",COUNTIFS('Invoice &amp; Delivery Log'!$A$8:$A$157,$B196)=0),"Invoice ID not found in the invoice log. ","")&amp;IF(COUNTIFS('Payments Log'!$A$8:$A$207,$A196)&gt;1,"Duplicate payment ID. ","")&amp;IF(N($F196)&lt;=0,"Payment amount must be greater than zero. ","")&amp;IF($E196="","Missing payment date. ","")&amp;IF(AND($E196&lt;&gt;"",$J196&lt;&gt;"",$E196&lt;$J196),"Payment dated before the invoice date. ","")&amp;IF(AND($E196&lt;&gt;"",$E196&gt;Settings!$C$5),"Payment date is in the future. ","")&amp;IF(ROUND(N($P196),2)&lt;0,"Payment exceeds the invoice balance. ","")&amp;IF($G196="","Missing payment method. ","")))</f>
        <v/>
      </c>
    </row>
    <row r="197" customFormat="false" ht="15" hidden="false" customHeight="true" outlineLevel="0" collapsed="false">
      <c r="A197" s="44"/>
      <c r="B197" s="44"/>
      <c r="C197" s="65" t="str">
        <f aca="false">IF($B197="","",IFERROR(INDEX('Invoice &amp; Delivery Log'!$B$8:$B$157,MATCH($B197,'Invoice &amp; Delivery Log'!$A$8:$A$157,0)),""))</f>
        <v/>
      </c>
      <c r="D197" s="59" t="str">
        <f aca="false">IF($B197="","",IFERROR(INDEX('Invoice &amp; Delivery Log'!$C$8:$C$157,MATCH($B197,'Invoice &amp; Delivery Log'!$A$8:$A$157,0)),"INVOICE NOT FOUND"))</f>
        <v/>
      </c>
      <c r="E197" s="56"/>
      <c r="F197" s="58"/>
      <c r="G197" s="44"/>
      <c r="H197" s="45"/>
      <c r="I197" s="45"/>
      <c r="J197" s="66" t="str">
        <f aca="false">IF($B197="","",IFERROR(INDEX('Invoice &amp; Delivery Log'!$H$8:$H$157,MATCH($B197,'Invoice &amp; Delivery Log'!$A$8:$A$157,0)),""))</f>
        <v/>
      </c>
      <c r="K197" s="66" t="str">
        <f aca="false">IF($B197="","",IFERROR(INDEX('Invoice &amp; Delivery Log'!$M$8:$M$157,MATCH($B197,'Invoice &amp; Delivery Log'!$A$8:$A$157,0)),""))</f>
        <v/>
      </c>
      <c r="L197" s="52" t="str">
        <f aca="false">IF(OR($E197="",$J197=""),"",$E197-$J197)</f>
        <v/>
      </c>
      <c r="M197" s="52" t="str">
        <f aca="false">IF(OR($E197="",$K197=""),"",$E197-$K197)</f>
        <v/>
      </c>
      <c r="N197" s="53" t="str">
        <f aca="false">IF(OR($E197="",$K197=""),"n/a",IF($E197&lt;=$K197,"On Time","Late"))</f>
        <v>n/a</v>
      </c>
      <c r="O197" s="50" t="str">
        <f aca="false">IF($B197="","",SUMIFS($F$8:$F197,$B$8:$B197,$B197))</f>
        <v/>
      </c>
      <c r="P197" s="50" t="str">
        <f aca="false">IF($B197="","",IFERROR(ROUND(INDEX('Invoice &amp; Delivery Log'!$N$8:$N$157,MATCH($B197,'Invoice &amp; Delivery Log'!$A$8:$A$157,0))-$O197,2),""))</f>
        <v/>
      </c>
      <c r="Q197" s="53" t="str">
        <f aca="false">IF($A197="","",IF($R197="","OK","REVIEW"))</f>
        <v/>
      </c>
      <c r="R197" s="62" t="str">
        <f aca="false">IF($A197="","",TRIM(IF($B197="","Missing invoice ID. ","")&amp;IF(AND($B197&lt;&gt;"",COUNTIFS('Invoice &amp; Delivery Log'!$A$8:$A$157,$B197)=0),"Invoice ID not found in the invoice log. ","")&amp;IF(COUNTIFS('Payments Log'!$A$8:$A$207,$A197)&gt;1,"Duplicate payment ID. ","")&amp;IF(N($F197)&lt;=0,"Payment amount must be greater than zero. ","")&amp;IF($E197="","Missing payment date. ","")&amp;IF(AND($E197&lt;&gt;"",$J197&lt;&gt;"",$E197&lt;$J197),"Payment dated before the invoice date. ","")&amp;IF(AND($E197&lt;&gt;"",$E197&gt;Settings!$C$5),"Payment date is in the future. ","")&amp;IF(ROUND(N($P197),2)&lt;0,"Payment exceeds the invoice balance. ","")&amp;IF($G197="","Missing payment method. ","")))</f>
        <v/>
      </c>
    </row>
    <row r="198" customFormat="false" ht="15" hidden="false" customHeight="true" outlineLevel="0" collapsed="false">
      <c r="A198" s="44"/>
      <c r="B198" s="44"/>
      <c r="C198" s="63" t="str">
        <f aca="false">IF($B198="","",IFERROR(INDEX('Invoice &amp; Delivery Log'!$B$8:$B$157,MATCH($B198,'Invoice &amp; Delivery Log'!$A$8:$A$157,0)),""))</f>
        <v/>
      </c>
      <c r="D198" s="55" t="str">
        <f aca="false">IF($B198="","",IFERROR(INDEX('Invoice &amp; Delivery Log'!$C$8:$C$157,MATCH($B198,'Invoice &amp; Delivery Log'!$A$8:$A$157,0)),"INVOICE NOT FOUND"))</f>
        <v/>
      </c>
      <c r="E198" s="56"/>
      <c r="F198" s="58"/>
      <c r="G198" s="44"/>
      <c r="H198" s="45"/>
      <c r="I198" s="45"/>
      <c r="J198" s="64" t="str">
        <f aca="false">IF($B198="","",IFERROR(INDEX('Invoice &amp; Delivery Log'!$H$8:$H$157,MATCH($B198,'Invoice &amp; Delivery Log'!$A$8:$A$157,0)),""))</f>
        <v/>
      </c>
      <c r="K198" s="64" t="str">
        <f aca="false">IF($B198="","",IFERROR(INDEX('Invoice &amp; Delivery Log'!$M$8:$M$157,MATCH($B198,'Invoice &amp; Delivery Log'!$A$8:$A$157,0)),""))</f>
        <v/>
      </c>
      <c r="L198" s="47" t="str">
        <f aca="false">IF(OR($E198="",$J198=""),"",$E198-$J198)</f>
        <v/>
      </c>
      <c r="M198" s="47" t="str">
        <f aca="false">IF(OR($E198="",$K198=""),"",$E198-$K198)</f>
        <v/>
      </c>
      <c r="N198" s="36" t="str">
        <f aca="false">IF(OR($E198="",$K198=""),"n/a",IF($E198&lt;=$K198,"On Time","Late"))</f>
        <v>n/a</v>
      </c>
      <c r="O198" s="30" t="str">
        <f aca="false">IF($B198="","",SUMIFS($F$8:$F198,$B$8:$B198,$B198))</f>
        <v/>
      </c>
      <c r="P198" s="30" t="str">
        <f aca="false">IF($B198="","",IFERROR(ROUND(INDEX('Invoice &amp; Delivery Log'!$N$8:$N$157,MATCH($B198,'Invoice &amp; Delivery Log'!$A$8:$A$157,0))-$O198,2),""))</f>
        <v/>
      </c>
      <c r="Q198" s="36" t="str">
        <f aca="false">IF($A198="","",IF($R198="","OK","REVIEW"))</f>
        <v/>
      </c>
      <c r="R198" s="28" t="str">
        <f aca="false">IF($A198="","",TRIM(IF($B198="","Missing invoice ID. ","")&amp;IF(AND($B198&lt;&gt;"",COUNTIFS('Invoice &amp; Delivery Log'!$A$8:$A$157,$B198)=0),"Invoice ID not found in the invoice log. ","")&amp;IF(COUNTIFS('Payments Log'!$A$8:$A$207,$A198)&gt;1,"Duplicate payment ID. ","")&amp;IF(N($F198)&lt;=0,"Payment amount must be greater than zero. ","")&amp;IF($E198="","Missing payment date. ","")&amp;IF(AND($E198&lt;&gt;"",$J198&lt;&gt;"",$E198&lt;$J198),"Payment dated before the invoice date. ","")&amp;IF(AND($E198&lt;&gt;"",$E198&gt;Settings!$C$5),"Payment date is in the future. ","")&amp;IF(ROUND(N($P198),2)&lt;0,"Payment exceeds the invoice balance. ","")&amp;IF($G198="","Missing payment method. ","")))</f>
        <v/>
      </c>
    </row>
    <row r="199" customFormat="false" ht="15" hidden="false" customHeight="true" outlineLevel="0" collapsed="false">
      <c r="A199" s="44"/>
      <c r="B199" s="44"/>
      <c r="C199" s="65" t="str">
        <f aca="false">IF($B199="","",IFERROR(INDEX('Invoice &amp; Delivery Log'!$B$8:$B$157,MATCH($B199,'Invoice &amp; Delivery Log'!$A$8:$A$157,0)),""))</f>
        <v/>
      </c>
      <c r="D199" s="59" t="str">
        <f aca="false">IF($B199="","",IFERROR(INDEX('Invoice &amp; Delivery Log'!$C$8:$C$157,MATCH($B199,'Invoice &amp; Delivery Log'!$A$8:$A$157,0)),"INVOICE NOT FOUND"))</f>
        <v/>
      </c>
      <c r="E199" s="56"/>
      <c r="F199" s="58"/>
      <c r="G199" s="44"/>
      <c r="H199" s="45"/>
      <c r="I199" s="45"/>
      <c r="J199" s="66" t="str">
        <f aca="false">IF($B199="","",IFERROR(INDEX('Invoice &amp; Delivery Log'!$H$8:$H$157,MATCH($B199,'Invoice &amp; Delivery Log'!$A$8:$A$157,0)),""))</f>
        <v/>
      </c>
      <c r="K199" s="66" t="str">
        <f aca="false">IF($B199="","",IFERROR(INDEX('Invoice &amp; Delivery Log'!$M$8:$M$157,MATCH($B199,'Invoice &amp; Delivery Log'!$A$8:$A$157,0)),""))</f>
        <v/>
      </c>
      <c r="L199" s="52" t="str">
        <f aca="false">IF(OR($E199="",$J199=""),"",$E199-$J199)</f>
        <v/>
      </c>
      <c r="M199" s="52" t="str">
        <f aca="false">IF(OR($E199="",$K199=""),"",$E199-$K199)</f>
        <v/>
      </c>
      <c r="N199" s="53" t="str">
        <f aca="false">IF(OR($E199="",$K199=""),"n/a",IF($E199&lt;=$K199,"On Time","Late"))</f>
        <v>n/a</v>
      </c>
      <c r="O199" s="50" t="str">
        <f aca="false">IF($B199="","",SUMIFS($F$8:$F199,$B$8:$B199,$B199))</f>
        <v/>
      </c>
      <c r="P199" s="50" t="str">
        <f aca="false">IF($B199="","",IFERROR(ROUND(INDEX('Invoice &amp; Delivery Log'!$N$8:$N$157,MATCH($B199,'Invoice &amp; Delivery Log'!$A$8:$A$157,0))-$O199,2),""))</f>
        <v/>
      </c>
      <c r="Q199" s="53" t="str">
        <f aca="false">IF($A199="","",IF($R199="","OK","REVIEW"))</f>
        <v/>
      </c>
      <c r="R199" s="62" t="str">
        <f aca="false">IF($A199="","",TRIM(IF($B199="","Missing invoice ID. ","")&amp;IF(AND($B199&lt;&gt;"",COUNTIFS('Invoice &amp; Delivery Log'!$A$8:$A$157,$B199)=0),"Invoice ID not found in the invoice log. ","")&amp;IF(COUNTIFS('Payments Log'!$A$8:$A$207,$A199)&gt;1,"Duplicate payment ID. ","")&amp;IF(N($F199)&lt;=0,"Payment amount must be greater than zero. ","")&amp;IF($E199="","Missing payment date. ","")&amp;IF(AND($E199&lt;&gt;"",$J199&lt;&gt;"",$E199&lt;$J199),"Payment dated before the invoice date. ","")&amp;IF(AND($E199&lt;&gt;"",$E199&gt;Settings!$C$5),"Payment date is in the future. ","")&amp;IF(ROUND(N($P199),2)&lt;0,"Payment exceeds the invoice balance. ","")&amp;IF($G199="","Missing payment method. ","")))</f>
        <v/>
      </c>
    </row>
    <row r="200" customFormat="false" ht="15" hidden="false" customHeight="true" outlineLevel="0" collapsed="false">
      <c r="A200" s="44"/>
      <c r="B200" s="44"/>
      <c r="C200" s="63" t="str">
        <f aca="false">IF($B200="","",IFERROR(INDEX('Invoice &amp; Delivery Log'!$B$8:$B$157,MATCH($B200,'Invoice &amp; Delivery Log'!$A$8:$A$157,0)),""))</f>
        <v/>
      </c>
      <c r="D200" s="55" t="str">
        <f aca="false">IF($B200="","",IFERROR(INDEX('Invoice &amp; Delivery Log'!$C$8:$C$157,MATCH($B200,'Invoice &amp; Delivery Log'!$A$8:$A$157,0)),"INVOICE NOT FOUND"))</f>
        <v/>
      </c>
      <c r="E200" s="56"/>
      <c r="F200" s="58"/>
      <c r="G200" s="44"/>
      <c r="H200" s="45"/>
      <c r="I200" s="45"/>
      <c r="J200" s="64" t="str">
        <f aca="false">IF($B200="","",IFERROR(INDEX('Invoice &amp; Delivery Log'!$H$8:$H$157,MATCH($B200,'Invoice &amp; Delivery Log'!$A$8:$A$157,0)),""))</f>
        <v/>
      </c>
      <c r="K200" s="64" t="str">
        <f aca="false">IF($B200="","",IFERROR(INDEX('Invoice &amp; Delivery Log'!$M$8:$M$157,MATCH($B200,'Invoice &amp; Delivery Log'!$A$8:$A$157,0)),""))</f>
        <v/>
      </c>
      <c r="L200" s="47" t="str">
        <f aca="false">IF(OR($E200="",$J200=""),"",$E200-$J200)</f>
        <v/>
      </c>
      <c r="M200" s="47" t="str">
        <f aca="false">IF(OR($E200="",$K200=""),"",$E200-$K200)</f>
        <v/>
      </c>
      <c r="N200" s="36" t="str">
        <f aca="false">IF(OR($E200="",$K200=""),"n/a",IF($E200&lt;=$K200,"On Time","Late"))</f>
        <v>n/a</v>
      </c>
      <c r="O200" s="30" t="str">
        <f aca="false">IF($B200="","",SUMIFS($F$8:$F200,$B$8:$B200,$B200))</f>
        <v/>
      </c>
      <c r="P200" s="30" t="str">
        <f aca="false">IF($B200="","",IFERROR(ROUND(INDEX('Invoice &amp; Delivery Log'!$N$8:$N$157,MATCH($B200,'Invoice &amp; Delivery Log'!$A$8:$A$157,0))-$O200,2),""))</f>
        <v/>
      </c>
      <c r="Q200" s="36" t="str">
        <f aca="false">IF($A200="","",IF($R200="","OK","REVIEW"))</f>
        <v/>
      </c>
      <c r="R200" s="28" t="str">
        <f aca="false">IF($A200="","",TRIM(IF($B200="","Missing invoice ID. ","")&amp;IF(AND($B200&lt;&gt;"",COUNTIFS('Invoice &amp; Delivery Log'!$A$8:$A$157,$B200)=0),"Invoice ID not found in the invoice log. ","")&amp;IF(COUNTIFS('Payments Log'!$A$8:$A$207,$A200)&gt;1,"Duplicate payment ID. ","")&amp;IF(N($F200)&lt;=0,"Payment amount must be greater than zero. ","")&amp;IF($E200="","Missing payment date. ","")&amp;IF(AND($E200&lt;&gt;"",$J200&lt;&gt;"",$E200&lt;$J200),"Payment dated before the invoice date. ","")&amp;IF(AND($E200&lt;&gt;"",$E200&gt;Settings!$C$5),"Payment date is in the future. ","")&amp;IF(ROUND(N($P200),2)&lt;0,"Payment exceeds the invoice balance. ","")&amp;IF($G200="","Missing payment method. ","")))</f>
        <v/>
      </c>
    </row>
    <row r="201" customFormat="false" ht="15" hidden="false" customHeight="true" outlineLevel="0" collapsed="false">
      <c r="A201" s="44"/>
      <c r="B201" s="44"/>
      <c r="C201" s="65" t="str">
        <f aca="false">IF($B201="","",IFERROR(INDEX('Invoice &amp; Delivery Log'!$B$8:$B$157,MATCH($B201,'Invoice &amp; Delivery Log'!$A$8:$A$157,0)),""))</f>
        <v/>
      </c>
      <c r="D201" s="59" t="str">
        <f aca="false">IF($B201="","",IFERROR(INDEX('Invoice &amp; Delivery Log'!$C$8:$C$157,MATCH($B201,'Invoice &amp; Delivery Log'!$A$8:$A$157,0)),"INVOICE NOT FOUND"))</f>
        <v/>
      </c>
      <c r="E201" s="56"/>
      <c r="F201" s="58"/>
      <c r="G201" s="44"/>
      <c r="H201" s="45"/>
      <c r="I201" s="45"/>
      <c r="J201" s="66" t="str">
        <f aca="false">IF($B201="","",IFERROR(INDEX('Invoice &amp; Delivery Log'!$H$8:$H$157,MATCH($B201,'Invoice &amp; Delivery Log'!$A$8:$A$157,0)),""))</f>
        <v/>
      </c>
      <c r="K201" s="66" t="str">
        <f aca="false">IF($B201="","",IFERROR(INDEX('Invoice &amp; Delivery Log'!$M$8:$M$157,MATCH($B201,'Invoice &amp; Delivery Log'!$A$8:$A$157,0)),""))</f>
        <v/>
      </c>
      <c r="L201" s="52" t="str">
        <f aca="false">IF(OR($E201="",$J201=""),"",$E201-$J201)</f>
        <v/>
      </c>
      <c r="M201" s="52" t="str">
        <f aca="false">IF(OR($E201="",$K201=""),"",$E201-$K201)</f>
        <v/>
      </c>
      <c r="N201" s="53" t="str">
        <f aca="false">IF(OR($E201="",$K201=""),"n/a",IF($E201&lt;=$K201,"On Time","Late"))</f>
        <v>n/a</v>
      </c>
      <c r="O201" s="50" t="str">
        <f aca="false">IF($B201="","",SUMIFS($F$8:$F201,$B$8:$B201,$B201))</f>
        <v/>
      </c>
      <c r="P201" s="50" t="str">
        <f aca="false">IF($B201="","",IFERROR(ROUND(INDEX('Invoice &amp; Delivery Log'!$N$8:$N$157,MATCH($B201,'Invoice &amp; Delivery Log'!$A$8:$A$157,0))-$O201,2),""))</f>
        <v/>
      </c>
      <c r="Q201" s="53" t="str">
        <f aca="false">IF($A201="","",IF($R201="","OK","REVIEW"))</f>
        <v/>
      </c>
      <c r="R201" s="62" t="str">
        <f aca="false">IF($A201="","",TRIM(IF($B201="","Missing invoice ID. ","")&amp;IF(AND($B201&lt;&gt;"",COUNTIFS('Invoice &amp; Delivery Log'!$A$8:$A$157,$B201)=0),"Invoice ID not found in the invoice log. ","")&amp;IF(COUNTIFS('Payments Log'!$A$8:$A$207,$A201)&gt;1,"Duplicate payment ID. ","")&amp;IF(N($F201)&lt;=0,"Payment amount must be greater than zero. ","")&amp;IF($E201="","Missing payment date. ","")&amp;IF(AND($E201&lt;&gt;"",$J201&lt;&gt;"",$E201&lt;$J201),"Payment dated before the invoice date. ","")&amp;IF(AND($E201&lt;&gt;"",$E201&gt;Settings!$C$5),"Payment date is in the future. ","")&amp;IF(ROUND(N($P201),2)&lt;0,"Payment exceeds the invoice balance. ","")&amp;IF($G201="","Missing payment method. ","")))</f>
        <v/>
      </c>
    </row>
    <row r="202" customFormat="false" ht="15" hidden="false" customHeight="true" outlineLevel="0" collapsed="false">
      <c r="A202" s="44"/>
      <c r="B202" s="44"/>
      <c r="C202" s="63" t="str">
        <f aca="false">IF($B202="","",IFERROR(INDEX('Invoice &amp; Delivery Log'!$B$8:$B$157,MATCH($B202,'Invoice &amp; Delivery Log'!$A$8:$A$157,0)),""))</f>
        <v/>
      </c>
      <c r="D202" s="55" t="str">
        <f aca="false">IF($B202="","",IFERROR(INDEX('Invoice &amp; Delivery Log'!$C$8:$C$157,MATCH($B202,'Invoice &amp; Delivery Log'!$A$8:$A$157,0)),"INVOICE NOT FOUND"))</f>
        <v/>
      </c>
      <c r="E202" s="56"/>
      <c r="F202" s="58"/>
      <c r="G202" s="44"/>
      <c r="H202" s="45"/>
      <c r="I202" s="45"/>
      <c r="J202" s="64" t="str">
        <f aca="false">IF($B202="","",IFERROR(INDEX('Invoice &amp; Delivery Log'!$H$8:$H$157,MATCH($B202,'Invoice &amp; Delivery Log'!$A$8:$A$157,0)),""))</f>
        <v/>
      </c>
      <c r="K202" s="64" t="str">
        <f aca="false">IF($B202="","",IFERROR(INDEX('Invoice &amp; Delivery Log'!$M$8:$M$157,MATCH($B202,'Invoice &amp; Delivery Log'!$A$8:$A$157,0)),""))</f>
        <v/>
      </c>
      <c r="L202" s="47" t="str">
        <f aca="false">IF(OR($E202="",$J202=""),"",$E202-$J202)</f>
        <v/>
      </c>
      <c r="M202" s="47" t="str">
        <f aca="false">IF(OR($E202="",$K202=""),"",$E202-$K202)</f>
        <v/>
      </c>
      <c r="N202" s="36" t="str">
        <f aca="false">IF(OR($E202="",$K202=""),"n/a",IF($E202&lt;=$K202,"On Time","Late"))</f>
        <v>n/a</v>
      </c>
      <c r="O202" s="30" t="str">
        <f aca="false">IF($B202="","",SUMIFS($F$8:$F202,$B$8:$B202,$B202))</f>
        <v/>
      </c>
      <c r="P202" s="30" t="str">
        <f aca="false">IF($B202="","",IFERROR(ROUND(INDEX('Invoice &amp; Delivery Log'!$N$8:$N$157,MATCH($B202,'Invoice &amp; Delivery Log'!$A$8:$A$157,0))-$O202,2),""))</f>
        <v/>
      </c>
      <c r="Q202" s="36" t="str">
        <f aca="false">IF($A202="","",IF($R202="","OK","REVIEW"))</f>
        <v/>
      </c>
      <c r="R202" s="28" t="str">
        <f aca="false">IF($A202="","",TRIM(IF($B202="","Missing invoice ID. ","")&amp;IF(AND($B202&lt;&gt;"",COUNTIFS('Invoice &amp; Delivery Log'!$A$8:$A$157,$B202)=0),"Invoice ID not found in the invoice log. ","")&amp;IF(COUNTIFS('Payments Log'!$A$8:$A$207,$A202)&gt;1,"Duplicate payment ID. ","")&amp;IF(N($F202)&lt;=0,"Payment amount must be greater than zero. ","")&amp;IF($E202="","Missing payment date. ","")&amp;IF(AND($E202&lt;&gt;"",$J202&lt;&gt;"",$E202&lt;$J202),"Payment dated before the invoice date. ","")&amp;IF(AND($E202&lt;&gt;"",$E202&gt;Settings!$C$5),"Payment date is in the future. ","")&amp;IF(ROUND(N($P202),2)&lt;0,"Payment exceeds the invoice balance. ","")&amp;IF($G202="","Missing payment method. ","")))</f>
        <v/>
      </c>
    </row>
    <row r="203" customFormat="false" ht="15" hidden="false" customHeight="true" outlineLevel="0" collapsed="false">
      <c r="A203" s="44"/>
      <c r="B203" s="44"/>
      <c r="C203" s="65" t="str">
        <f aca="false">IF($B203="","",IFERROR(INDEX('Invoice &amp; Delivery Log'!$B$8:$B$157,MATCH($B203,'Invoice &amp; Delivery Log'!$A$8:$A$157,0)),""))</f>
        <v/>
      </c>
      <c r="D203" s="59" t="str">
        <f aca="false">IF($B203="","",IFERROR(INDEX('Invoice &amp; Delivery Log'!$C$8:$C$157,MATCH($B203,'Invoice &amp; Delivery Log'!$A$8:$A$157,0)),"INVOICE NOT FOUND"))</f>
        <v/>
      </c>
      <c r="E203" s="56"/>
      <c r="F203" s="58"/>
      <c r="G203" s="44"/>
      <c r="H203" s="45"/>
      <c r="I203" s="45"/>
      <c r="J203" s="66" t="str">
        <f aca="false">IF($B203="","",IFERROR(INDEX('Invoice &amp; Delivery Log'!$H$8:$H$157,MATCH($B203,'Invoice &amp; Delivery Log'!$A$8:$A$157,0)),""))</f>
        <v/>
      </c>
      <c r="K203" s="66" t="str">
        <f aca="false">IF($B203="","",IFERROR(INDEX('Invoice &amp; Delivery Log'!$M$8:$M$157,MATCH($B203,'Invoice &amp; Delivery Log'!$A$8:$A$157,0)),""))</f>
        <v/>
      </c>
      <c r="L203" s="52" t="str">
        <f aca="false">IF(OR($E203="",$J203=""),"",$E203-$J203)</f>
        <v/>
      </c>
      <c r="M203" s="52" t="str">
        <f aca="false">IF(OR($E203="",$K203=""),"",$E203-$K203)</f>
        <v/>
      </c>
      <c r="N203" s="53" t="str">
        <f aca="false">IF(OR($E203="",$K203=""),"n/a",IF($E203&lt;=$K203,"On Time","Late"))</f>
        <v>n/a</v>
      </c>
      <c r="O203" s="50" t="str">
        <f aca="false">IF($B203="","",SUMIFS($F$8:$F203,$B$8:$B203,$B203))</f>
        <v/>
      </c>
      <c r="P203" s="50" t="str">
        <f aca="false">IF($B203="","",IFERROR(ROUND(INDEX('Invoice &amp; Delivery Log'!$N$8:$N$157,MATCH($B203,'Invoice &amp; Delivery Log'!$A$8:$A$157,0))-$O203,2),""))</f>
        <v/>
      </c>
      <c r="Q203" s="53" t="str">
        <f aca="false">IF($A203="","",IF($R203="","OK","REVIEW"))</f>
        <v/>
      </c>
      <c r="R203" s="62" t="str">
        <f aca="false">IF($A203="","",TRIM(IF($B203="","Missing invoice ID. ","")&amp;IF(AND($B203&lt;&gt;"",COUNTIFS('Invoice &amp; Delivery Log'!$A$8:$A$157,$B203)=0),"Invoice ID not found in the invoice log. ","")&amp;IF(COUNTIFS('Payments Log'!$A$8:$A$207,$A203)&gt;1,"Duplicate payment ID. ","")&amp;IF(N($F203)&lt;=0,"Payment amount must be greater than zero. ","")&amp;IF($E203="","Missing payment date. ","")&amp;IF(AND($E203&lt;&gt;"",$J203&lt;&gt;"",$E203&lt;$J203),"Payment dated before the invoice date. ","")&amp;IF(AND($E203&lt;&gt;"",$E203&gt;Settings!$C$5),"Payment date is in the future. ","")&amp;IF(ROUND(N($P203),2)&lt;0,"Payment exceeds the invoice balance. ","")&amp;IF($G203="","Missing payment method. ","")))</f>
        <v/>
      </c>
    </row>
    <row r="204" customFormat="false" ht="15" hidden="false" customHeight="true" outlineLevel="0" collapsed="false">
      <c r="A204" s="44"/>
      <c r="B204" s="44"/>
      <c r="C204" s="63" t="str">
        <f aca="false">IF($B204="","",IFERROR(INDEX('Invoice &amp; Delivery Log'!$B$8:$B$157,MATCH($B204,'Invoice &amp; Delivery Log'!$A$8:$A$157,0)),""))</f>
        <v/>
      </c>
      <c r="D204" s="55" t="str">
        <f aca="false">IF($B204="","",IFERROR(INDEX('Invoice &amp; Delivery Log'!$C$8:$C$157,MATCH($B204,'Invoice &amp; Delivery Log'!$A$8:$A$157,0)),"INVOICE NOT FOUND"))</f>
        <v/>
      </c>
      <c r="E204" s="56"/>
      <c r="F204" s="58"/>
      <c r="G204" s="44"/>
      <c r="H204" s="45"/>
      <c r="I204" s="45"/>
      <c r="J204" s="64" t="str">
        <f aca="false">IF($B204="","",IFERROR(INDEX('Invoice &amp; Delivery Log'!$H$8:$H$157,MATCH($B204,'Invoice &amp; Delivery Log'!$A$8:$A$157,0)),""))</f>
        <v/>
      </c>
      <c r="K204" s="64" t="str">
        <f aca="false">IF($B204="","",IFERROR(INDEX('Invoice &amp; Delivery Log'!$M$8:$M$157,MATCH($B204,'Invoice &amp; Delivery Log'!$A$8:$A$157,0)),""))</f>
        <v/>
      </c>
      <c r="L204" s="47" t="str">
        <f aca="false">IF(OR($E204="",$J204=""),"",$E204-$J204)</f>
        <v/>
      </c>
      <c r="M204" s="47" t="str">
        <f aca="false">IF(OR($E204="",$K204=""),"",$E204-$K204)</f>
        <v/>
      </c>
      <c r="N204" s="36" t="str">
        <f aca="false">IF(OR($E204="",$K204=""),"n/a",IF($E204&lt;=$K204,"On Time","Late"))</f>
        <v>n/a</v>
      </c>
      <c r="O204" s="30" t="str">
        <f aca="false">IF($B204="","",SUMIFS($F$8:$F204,$B$8:$B204,$B204))</f>
        <v/>
      </c>
      <c r="P204" s="30" t="str">
        <f aca="false">IF($B204="","",IFERROR(ROUND(INDEX('Invoice &amp; Delivery Log'!$N$8:$N$157,MATCH($B204,'Invoice &amp; Delivery Log'!$A$8:$A$157,0))-$O204,2),""))</f>
        <v/>
      </c>
      <c r="Q204" s="36" t="str">
        <f aca="false">IF($A204="","",IF($R204="","OK","REVIEW"))</f>
        <v/>
      </c>
      <c r="R204" s="28" t="str">
        <f aca="false">IF($A204="","",TRIM(IF($B204="","Missing invoice ID. ","")&amp;IF(AND($B204&lt;&gt;"",COUNTIFS('Invoice &amp; Delivery Log'!$A$8:$A$157,$B204)=0),"Invoice ID not found in the invoice log. ","")&amp;IF(COUNTIFS('Payments Log'!$A$8:$A$207,$A204)&gt;1,"Duplicate payment ID. ","")&amp;IF(N($F204)&lt;=0,"Payment amount must be greater than zero. ","")&amp;IF($E204="","Missing payment date. ","")&amp;IF(AND($E204&lt;&gt;"",$J204&lt;&gt;"",$E204&lt;$J204),"Payment dated before the invoice date. ","")&amp;IF(AND($E204&lt;&gt;"",$E204&gt;Settings!$C$5),"Payment date is in the future. ","")&amp;IF(ROUND(N($P204),2)&lt;0,"Payment exceeds the invoice balance. ","")&amp;IF($G204="","Missing payment method. ","")))</f>
        <v/>
      </c>
    </row>
    <row r="205" customFormat="false" ht="15" hidden="false" customHeight="true" outlineLevel="0" collapsed="false">
      <c r="A205" s="44"/>
      <c r="B205" s="44"/>
      <c r="C205" s="65" t="str">
        <f aca="false">IF($B205="","",IFERROR(INDEX('Invoice &amp; Delivery Log'!$B$8:$B$157,MATCH($B205,'Invoice &amp; Delivery Log'!$A$8:$A$157,0)),""))</f>
        <v/>
      </c>
      <c r="D205" s="59" t="str">
        <f aca="false">IF($B205="","",IFERROR(INDEX('Invoice &amp; Delivery Log'!$C$8:$C$157,MATCH($B205,'Invoice &amp; Delivery Log'!$A$8:$A$157,0)),"INVOICE NOT FOUND"))</f>
        <v/>
      </c>
      <c r="E205" s="56"/>
      <c r="F205" s="58"/>
      <c r="G205" s="44"/>
      <c r="H205" s="45"/>
      <c r="I205" s="45"/>
      <c r="J205" s="66" t="str">
        <f aca="false">IF($B205="","",IFERROR(INDEX('Invoice &amp; Delivery Log'!$H$8:$H$157,MATCH($B205,'Invoice &amp; Delivery Log'!$A$8:$A$157,0)),""))</f>
        <v/>
      </c>
      <c r="K205" s="66" t="str">
        <f aca="false">IF($B205="","",IFERROR(INDEX('Invoice &amp; Delivery Log'!$M$8:$M$157,MATCH($B205,'Invoice &amp; Delivery Log'!$A$8:$A$157,0)),""))</f>
        <v/>
      </c>
      <c r="L205" s="52" t="str">
        <f aca="false">IF(OR($E205="",$J205=""),"",$E205-$J205)</f>
        <v/>
      </c>
      <c r="M205" s="52" t="str">
        <f aca="false">IF(OR($E205="",$K205=""),"",$E205-$K205)</f>
        <v/>
      </c>
      <c r="N205" s="53" t="str">
        <f aca="false">IF(OR($E205="",$K205=""),"n/a",IF($E205&lt;=$K205,"On Time","Late"))</f>
        <v>n/a</v>
      </c>
      <c r="O205" s="50" t="str">
        <f aca="false">IF($B205="","",SUMIFS($F$8:$F205,$B$8:$B205,$B205))</f>
        <v/>
      </c>
      <c r="P205" s="50" t="str">
        <f aca="false">IF($B205="","",IFERROR(ROUND(INDEX('Invoice &amp; Delivery Log'!$N$8:$N$157,MATCH($B205,'Invoice &amp; Delivery Log'!$A$8:$A$157,0))-$O205,2),""))</f>
        <v/>
      </c>
      <c r="Q205" s="53" t="str">
        <f aca="false">IF($A205="","",IF($R205="","OK","REVIEW"))</f>
        <v/>
      </c>
      <c r="R205" s="62" t="str">
        <f aca="false">IF($A205="","",TRIM(IF($B205="","Missing invoice ID. ","")&amp;IF(AND($B205&lt;&gt;"",COUNTIFS('Invoice &amp; Delivery Log'!$A$8:$A$157,$B205)=0),"Invoice ID not found in the invoice log. ","")&amp;IF(COUNTIFS('Payments Log'!$A$8:$A$207,$A205)&gt;1,"Duplicate payment ID. ","")&amp;IF(N($F205)&lt;=0,"Payment amount must be greater than zero. ","")&amp;IF($E205="","Missing payment date. ","")&amp;IF(AND($E205&lt;&gt;"",$J205&lt;&gt;"",$E205&lt;$J205),"Payment dated before the invoice date. ","")&amp;IF(AND($E205&lt;&gt;"",$E205&gt;Settings!$C$5),"Payment date is in the future. ","")&amp;IF(ROUND(N($P205),2)&lt;0,"Payment exceeds the invoice balance. ","")&amp;IF($G205="","Missing payment method. ","")))</f>
        <v/>
      </c>
    </row>
    <row r="206" customFormat="false" ht="15" hidden="false" customHeight="true" outlineLevel="0" collapsed="false">
      <c r="A206" s="44"/>
      <c r="B206" s="44"/>
      <c r="C206" s="63" t="str">
        <f aca="false">IF($B206="","",IFERROR(INDEX('Invoice &amp; Delivery Log'!$B$8:$B$157,MATCH($B206,'Invoice &amp; Delivery Log'!$A$8:$A$157,0)),""))</f>
        <v/>
      </c>
      <c r="D206" s="55" t="str">
        <f aca="false">IF($B206="","",IFERROR(INDEX('Invoice &amp; Delivery Log'!$C$8:$C$157,MATCH($B206,'Invoice &amp; Delivery Log'!$A$8:$A$157,0)),"INVOICE NOT FOUND"))</f>
        <v/>
      </c>
      <c r="E206" s="56"/>
      <c r="F206" s="58"/>
      <c r="G206" s="44"/>
      <c r="H206" s="45"/>
      <c r="I206" s="45"/>
      <c r="J206" s="64" t="str">
        <f aca="false">IF($B206="","",IFERROR(INDEX('Invoice &amp; Delivery Log'!$H$8:$H$157,MATCH($B206,'Invoice &amp; Delivery Log'!$A$8:$A$157,0)),""))</f>
        <v/>
      </c>
      <c r="K206" s="64" t="str">
        <f aca="false">IF($B206="","",IFERROR(INDEX('Invoice &amp; Delivery Log'!$M$8:$M$157,MATCH($B206,'Invoice &amp; Delivery Log'!$A$8:$A$157,0)),""))</f>
        <v/>
      </c>
      <c r="L206" s="47" t="str">
        <f aca="false">IF(OR($E206="",$J206=""),"",$E206-$J206)</f>
        <v/>
      </c>
      <c r="M206" s="47" t="str">
        <f aca="false">IF(OR($E206="",$K206=""),"",$E206-$K206)</f>
        <v/>
      </c>
      <c r="N206" s="36" t="str">
        <f aca="false">IF(OR($E206="",$K206=""),"n/a",IF($E206&lt;=$K206,"On Time","Late"))</f>
        <v>n/a</v>
      </c>
      <c r="O206" s="30" t="str">
        <f aca="false">IF($B206="","",SUMIFS($F$8:$F206,$B$8:$B206,$B206))</f>
        <v/>
      </c>
      <c r="P206" s="30" t="str">
        <f aca="false">IF($B206="","",IFERROR(ROUND(INDEX('Invoice &amp; Delivery Log'!$N$8:$N$157,MATCH($B206,'Invoice &amp; Delivery Log'!$A$8:$A$157,0))-$O206,2),""))</f>
        <v/>
      </c>
      <c r="Q206" s="36" t="str">
        <f aca="false">IF($A206="","",IF($R206="","OK","REVIEW"))</f>
        <v/>
      </c>
      <c r="R206" s="28" t="str">
        <f aca="false">IF($A206="","",TRIM(IF($B206="","Missing invoice ID. ","")&amp;IF(AND($B206&lt;&gt;"",COUNTIFS('Invoice &amp; Delivery Log'!$A$8:$A$157,$B206)=0),"Invoice ID not found in the invoice log. ","")&amp;IF(COUNTIFS('Payments Log'!$A$8:$A$207,$A206)&gt;1,"Duplicate payment ID. ","")&amp;IF(N($F206)&lt;=0,"Payment amount must be greater than zero. ","")&amp;IF($E206="","Missing payment date. ","")&amp;IF(AND($E206&lt;&gt;"",$J206&lt;&gt;"",$E206&lt;$J206),"Payment dated before the invoice date. ","")&amp;IF(AND($E206&lt;&gt;"",$E206&gt;Settings!$C$5),"Payment date is in the future. ","")&amp;IF(ROUND(N($P206),2)&lt;0,"Payment exceeds the invoice balance. ","")&amp;IF($G206="","Missing payment method. ","")))</f>
        <v/>
      </c>
    </row>
    <row r="207" customFormat="false" ht="15" hidden="false" customHeight="true" outlineLevel="0" collapsed="false">
      <c r="A207" s="44"/>
      <c r="B207" s="44"/>
      <c r="C207" s="65" t="str">
        <f aca="false">IF($B207="","",IFERROR(INDEX('Invoice &amp; Delivery Log'!$B$8:$B$157,MATCH($B207,'Invoice &amp; Delivery Log'!$A$8:$A$157,0)),""))</f>
        <v/>
      </c>
      <c r="D207" s="59" t="str">
        <f aca="false">IF($B207="","",IFERROR(INDEX('Invoice &amp; Delivery Log'!$C$8:$C$157,MATCH($B207,'Invoice &amp; Delivery Log'!$A$8:$A$157,0)),"INVOICE NOT FOUND"))</f>
        <v/>
      </c>
      <c r="E207" s="56"/>
      <c r="F207" s="58"/>
      <c r="G207" s="44"/>
      <c r="H207" s="45"/>
      <c r="I207" s="45"/>
      <c r="J207" s="66" t="str">
        <f aca="false">IF($B207="","",IFERROR(INDEX('Invoice &amp; Delivery Log'!$H$8:$H$157,MATCH($B207,'Invoice &amp; Delivery Log'!$A$8:$A$157,0)),""))</f>
        <v/>
      </c>
      <c r="K207" s="66" t="str">
        <f aca="false">IF($B207="","",IFERROR(INDEX('Invoice &amp; Delivery Log'!$M$8:$M$157,MATCH($B207,'Invoice &amp; Delivery Log'!$A$8:$A$157,0)),""))</f>
        <v/>
      </c>
      <c r="L207" s="52" t="str">
        <f aca="false">IF(OR($E207="",$J207=""),"",$E207-$J207)</f>
        <v/>
      </c>
      <c r="M207" s="52" t="str">
        <f aca="false">IF(OR($E207="",$K207=""),"",$E207-$K207)</f>
        <v/>
      </c>
      <c r="N207" s="53" t="str">
        <f aca="false">IF(OR($E207="",$K207=""),"n/a",IF($E207&lt;=$K207,"On Time","Late"))</f>
        <v>n/a</v>
      </c>
      <c r="O207" s="50" t="str">
        <f aca="false">IF($B207="","",SUMIFS($F$8:$F207,$B$8:$B207,$B207))</f>
        <v/>
      </c>
      <c r="P207" s="50" t="str">
        <f aca="false">IF($B207="","",IFERROR(ROUND(INDEX('Invoice &amp; Delivery Log'!$N$8:$N$157,MATCH($B207,'Invoice &amp; Delivery Log'!$A$8:$A$157,0))-$O207,2),""))</f>
        <v/>
      </c>
      <c r="Q207" s="53" t="str">
        <f aca="false">IF($A207="","",IF($R207="","OK","REVIEW"))</f>
        <v/>
      </c>
      <c r="R207" s="62" t="str">
        <f aca="false">IF($A207="","",TRIM(IF($B207="","Missing invoice ID. ","")&amp;IF(AND($B207&lt;&gt;"",COUNTIFS('Invoice &amp; Delivery Log'!$A$8:$A$157,$B207)=0),"Invoice ID not found in the invoice log. ","")&amp;IF(COUNTIFS('Payments Log'!$A$8:$A$207,$A207)&gt;1,"Duplicate payment ID. ","")&amp;IF(N($F207)&lt;=0,"Payment amount must be greater than zero. ","")&amp;IF($E207="","Missing payment date. ","")&amp;IF(AND($E207&lt;&gt;"",$J207&lt;&gt;"",$E207&lt;$J207),"Payment dated before the invoice date. ","")&amp;IF(AND($E207&lt;&gt;"",$E207&gt;Settings!$C$5),"Payment date is in the future. ","")&amp;IF(ROUND(N($P207),2)&lt;0,"Payment exceeds the invoice balance. ","")&amp;IF($G207="","Missing payment method. ","")))</f>
        <v/>
      </c>
    </row>
  </sheetData>
  <autoFilter ref="A7:R207"/>
  <mergeCells count="2">
    <mergeCell ref="A1:R1"/>
    <mergeCell ref="A2:R2"/>
  </mergeCells>
  <conditionalFormatting sqref="N8:N207">
    <cfRule type="expression" priority="2" aboveAverage="0" equalAverage="0" bottom="0" percent="0" rank="0" text="" dxfId="29">
      <formula>$N8="On Time"</formula>
    </cfRule>
    <cfRule type="expression" priority="3" aboveAverage="0" equalAverage="0" bottom="0" percent="0" rank="0" text="" dxfId="24">
      <formula>$N8="Late"</formula>
    </cfRule>
  </conditionalFormatting>
  <conditionalFormatting sqref="P8:P207">
    <cfRule type="expression" priority="4" aboveAverage="0" equalAverage="0" bottom="0" percent="0" rank="0" text="" dxfId="5">
      <formula>AND($B8&lt;&gt;"",N($P8)&lt;0)</formula>
    </cfRule>
  </conditionalFormatting>
  <conditionalFormatting sqref="Q8:R207">
    <cfRule type="expression" priority="5" aboveAverage="0" equalAverage="0" bottom="0" percent="0" rank="0" text="" dxfId="5">
      <formula>$Q8="REVIEW"</formula>
    </cfRule>
  </conditionalFormatting>
  <conditionalFormatting sqref="Q8:Q207">
    <cfRule type="expression" priority="6" aboveAverage="0" equalAverage="0" bottom="0" percent="0" rank="0" text="" dxfId="29">
      <formula>$Q8="OK"</formula>
    </cfRule>
  </conditionalFormatting>
  <conditionalFormatting sqref="D8:D207">
    <cfRule type="expression" priority="7" aboveAverage="0" equalAverage="0" bottom="0" percent="0" rank="0" text="" dxfId="5">
      <formula>$D8="INVOICE NOT FOUND"</formula>
    </cfRule>
  </conditionalFormatting>
  <dataValidations count="4">
    <dataValidation allowBlank="true" error="Record the invoice on the Invoice &amp; Delivery Log first." errorStyle="stop" errorTitle="Unknown Invoice ID" operator="between" showDropDown="false" showErrorMessage="false" showInputMessage="false" sqref="B8:B207" type="list">
      <formula1>'Invoice &amp; Delivery Log'!$A$8:$A$157</formula1>
      <formula2>0</formula2>
    </dataValidation>
    <dataValidation allowBlank="true" error="Choose a payment method from the list." errorStyle="stop" errorTitle="Payment Method" operator="between" showDropDown="false" showErrorMessage="false" showInputMessage="false" sqref="G8:G207" type="list">
      <formula1>Settings!$D$27:$D$40</formula1>
      <formula2>0</formula2>
    </dataValidation>
    <dataValidation allowBlank="true" error="The payment amount must be greater than zero." errorStyle="stop" errorTitle="Payment Amount" operator="greaterThan" showDropDown="false" showErrorMessage="false" showInputMessage="false" sqref="F8:F207" type="decimal">
      <formula1>0</formula1>
      <formula2>0</formula2>
    </dataValidation>
    <dataValidation allowBlank="true" error="Enter a real date between 2020 and 2035." errorStyle="stop" errorTitle="Payment Date" operator="between" showDropDown="false" showErrorMessage="false" showInputMessage="false" sqref="E8:E207" type="date">
      <formula1>2020-1-1</formula1>
      <formula2>2035-12-31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VendorFlow — Supplier Invoice, Payment &amp;&amp; Performance System&amp;R&amp;8 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B3B"/>
    <pageSetUpPr fitToPage="true"/>
  </sheetPr>
  <dimension ref="A1:L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19"/>
    <col collapsed="false" customWidth="true" hidden="false" outlineLevel="0" max="8" min="8" style="1" width="10"/>
    <col collapsed="false" customWidth="true" hidden="false" outlineLevel="0" max="9" min="9" style="1" width="16"/>
    <col collapsed="false" customWidth="true" hidden="false" outlineLevel="0" max="10" min="10" style="1" width="14"/>
    <col collapsed="false" customWidth="true" hidden="false" outlineLevel="0" max="11" min="11" style="1" width="17"/>
    <col collapsed="false" customWidth="true" hidden="false" outlineLevel="0" max="12" min="12" style="1" width="30"/>
  </cols>
  <sheetData>
    <row r="1" customFormat="false" ht="30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595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25.5" hidden="false" customHeight="true" outlineLevel="0" collapsed="false">
      <c r="A3" s="27" t="s">
        <v>596</v>
      </c>
      <c r="B3" s="27" t="s">
        <v>597</v>
      </c>
      <c r="C3" s="27" t="s">
        <v>598</v>
      </c>
      <c r="D3" s="27" t="s">
        <v>599</v>
      </c>
      <c r="E3" s="27" t="s">
        <v>600</v>
      </c>
      <c r="F3" s="27" t="s">
        <v>601</v>
      </c>
      <c r="G3" s="27" t="s">
        <v>602</v>
      </c>
      <c r="H3" s="27" t="s">
        <v>603</v>
      </c>
      <c r="I3" s="27" t="s">
        <v>604</v>
      </c>
      <c r="K3" s="41" t="s">
        <v>605</v>
      </c>
    </row>
    <row r="4" customFormat="false" ht="21.75" hidden="false" customHeight="true" outlineLevel="0" collapsed="false">
      <c r="A4" s="67" t="n">
        <f aca="false">SUMIFS($E$8:$E$157,$F$8:$F$157,"&lt;0")</f>
        <v>32710.06</v>
      </c>
      <c r="B4" s="67" t="n">
        <f aca="false">SUMIFS($E$8:$E$157,$F$8:$F$157,"&gt;=0",$F$8:$F$157,"&lt;="&amp;Settings!$C$11)</f>
        <v>3748.61</v>
      </c>
      <c r="C4" s="67" t="n">
        <f aca="false">SUMIFS($E$8:$E$157,$F$8:$F$157,"&gt;"&amp;Settings!$C$11,$F$8:$F$157,"&lt;="&amp;2*Settings!$C$11)</f>
        <v>0</v>
      </c>
      <c r="D4" s="67" t="n">
        <f aca="false">SUMIFS($E$8:$E$157,$F$8:$F$157,"&gt;"&amp;2*Settings!$C$11,$F$8:$F$157,"&lt;="&amp;Settings!$C$12)</f>
        <v>7879.22</v>
      </c>
      <c r="E4" s="67" t="n">
        <f aca="false">SUMIFS($E$8:$E$157,$F$8:$F$157,"&gt;"&amp;Settings!$C$12)</f>
        <v>9418.22</v>
      </c>
      <c r="F4" s="67" t="n">
        <f aca="false">SUM($E$8:$E$157)</f>
        <v>53756.11</v>
      </c>
      <c r="G4" s="67" t="n">
        <f aca="false">SUM($J$8:$J$157)</f>
        <v>22231.44</v>
      </c>
      <c r="H4" s="68" t="n">
        <v>48000</v>
      </c>
      <c r="I4" s="67" t="n">
        <f aca="false">$H$4-$G$4</f>
        <v>25768.56</v>
      </c>
      <c r="K4" s="40" t="s">
        <v>606</v>
      </c>
    </row>
    <row r="5" customFormat="false" ht="15" hidden="false" customHeight="true" outlineLevel="0" collapsed="false">
      <c r="A5" s="69" t="str">
        <f aca="false">COUNTIFS($F$8:$F$157,"&lt;0")&amp;" invoices"</f>
        <v>12 invoices</v>
      </c>
      <c r="B5" s="69" t="str">
        <f aca="false">COUNTIFS($F$8:$F$157,"&gt;=0",$F$8:$F$157,"&lt;="&amp;Settings!$C$11)&amp;" invoices"</f>
        <v>1 invoices</v>
      </c>
      <c r="C5" s="69" t="str">
        <f aca="false">COUNTIFS($F$8:$F$157,"&gt;"&amp;Settings!$C$11,$F$8:$F$157,"&lt;="&amp;2*Settings!$C$11)&amp;" invoices"</f>
        <v>0 invoices</v>
      </c>
      <c r="D5" s="69" t="str">
        <f aca="false">COUNTIFS($F$8:$F$157,"&gt;"&amp;2*Settings!$C$11,$F$8:$F$157,"&lt;="&amp;Settings!$C$12)&amp;" invoices"</f>
        <v>4 invoices</v>
      </c>
      <c r="E5" s="69" t="str">
        <f aca="false">COUNTIFS($F$8:$F$157,"&gt;"&amp;Settings!$C$12)&amp;" invoices"</f>
        <v>1 invoices</v>
      </c>
      <c r="F5" s="69" t="str">
        <f aca="false">COUNT($E$8:$E$157)&amp;" invoices"</f>
        <v>18 invoices</v>
      </c>
      <c r="G5" s="69" t="str">
        <f aca="false">COUNT($J$8:$J$157)&amp;" invoices planned"</f>
        <v>9 invoices planned</v>
      </c>
      <c r="H5" s="69" t="s">
        <v>607</v>
      </c>
      <c r="I5" s="69" t="str">
        <f aca="false">IF($I$4&gt;=0,"Budget covers the plan","Budget shortfall")</f>
        <v>Budget covers the plan</v>
      </c>
    </row>
    <row r="7" customFormat="false" ht="31.5" hidden="false" customHeight="true" outlineLevel="0" collapsed="false">
      <c r="A7" s="43" t="s">
        <v>113</v>
      </c>
      <c r="B7" s="43" t="s">
        <v>109</v>
      </c>
      <c r="C7" s="43" t="s">
        <v>220</v>
      </c>
      <c r="D7" s="43" t="s">
        <v>114</v>
      </c>
      <c r="E7" s="43" t="s">
        <v>133</v>
      </c>
      <c r="F7" s="43" t="s">
        <v>608</v>
      </c>
      <c r="G7" s="43" t="s">
        <v>609</v>
      </c>
      <c r="H7" s="43" t="s">
        <v>232</v>
      </c>
      <c r="I7" s="42" t="s">
        <v>610</v>
      </c>
      <c r="J7" s="42" t="s">
        <v>611</v>
      </c>
      <c r="K7" s="43" t="s">
        <v>612</v>
      </c>
      <c r="L7" s="43" t="s">
        <v>613</v>
      </c>
    </row>
    <row r="8" customFormat="false" ht="15" hidden="false" customHeight="true" outlineLevel="0" collapsed="false">
      <c r="A8" s="63" t="str">
        <f aca="false">IF('Invoice &amp; Delivery Log'!$A8="","",'Invoice &amp; Delivery Log'!$A8)</f>
        <v>INV-1001</v>
      </c>
      <c r="B8" s="55" t="str">
        <f aca="false">IF('Invoice &amp; Delivery Log'!$A8="","",'Invoice &amp; Delivery Log'!$C8)</f>
        <v>Copperfield Textiles</v>
      </c>
      <c r="C8" s="64" t="n">
        <f aca="false">IF('Invoice &amp; Delivery Log'!$A8="","",'Invoice &amp; Delivery Log'!$H8)</f>
        <v>46084</v>
      </c>
      <c r="D8" s="64" t="n">
        <f aca="false">IF('Invoice &amp; Delivery Log'!$A8="","",'Invoice &amp; Delivery Log'!$M8)</f>
        <v>46144</v>
      </c>
      <c r="E8" s="70" t="str">
        <f aca="false">IF('Invoice &amp; Delivery Log'!$A8="","",IF('Invoice &amp; Delivery Log'!$Y8="Yes",'Invoice &amp; Delivery Log'!$P8,""))</f>
        <v/>
      </c>
      <c r="F8" s="47" t="str">
        <f aca="false">IF(OR($E8="",$D8=""),"",$D8-Settings!$C$5)</f>
        <v/>
      </c>
      <c r="G8" s="36" t="str">
        <f aca="false">IF($A8="","",IF($E8="","Closed",IF($F8="","No Due Date",IF($F8&lt;0,"Overdue",IF($F8&lt;=Settings!$C$11,"Due in 0-7 Days",IF($F8&lt;=2*Settings!$C$11,"Due in 8-14 Days",IF($F8&lt;=Settings!$C$12,"Due in 15-30 Days","Due in 31+ Days")))))))</f>
        <v>Closed</v>
      </c>
      <c r="H8" s="29" t="str">
        <f aca="false">IF('Invoice &amp; Delivery Log'!$Z8="","",'Invoice &amp; Delivery Log'!$Z8)</f>
        <v/>
      </c>
      <c r="I8" s="56"/>
      <c r="J8" s="58"/>
      <c r="K8" s="30" t="str">
        <f aca="false">IF($E8="","",ROUND($E8-N($J8),2))</f>
        <v/>
      </c>
      <c r="L8" s="28" t="str">
        <f aca="false">IF($A8="","",IF($E8="","No action needed",IF(AND(N($J8)&gt;0,$I8=""),"Missing planned date",IF(ROUND(N($J8)-$E8,2)&gt;0,"Planned amount exceeds balance",IF(AND($I8&lt;&gt;"",$I8&lt;Settings!$C$5),"Planned date is in the past",IF(N($J8)&lt;=0,"Not planned yet",IF(ROUND($K8,2)&lt;=0,"Fully planned","Partly planned")))))))</f>
        <v>No action needed</v>
      </c>
    </row>
    <row r="9" customFormat="false" ht="15" hidden="false" customHeight="true" outlineLevel="0" collapsed="false">
      <c r="A9" s="65" t="str">
        <f aca="false">IF('Invoice &amp; Delivery Log'!$A9="","",'Invoice &amp; Delivery Log'!$A9)</f>
        <v>INV-1002</v>
      </c>
      <c r="B9" s="59" t="str">
        <f aca="false">IF('Invoice &amp; Delivery Log'!$A9="","",'Invoice &amp; Delivery Log'!$C9)</f>
        <v>Harborline Logistics</v>
      </c>
      <c r="C9" s="66" t="n">
        <f aca="false">IF('Invoice &amp; Delivery Log'!$A9="","",'Invoice &amp; Delivery Log'!$H9)</f>
        <v>46085</v>
      </c>
      <c r="D9" s="66" t="n">
        <f aca="false">IF('Invoice &amp; Delivery Log'!$A9="","",'Invoice &amp; Delivery Log'!$M9)</f>
        <v>46115</v>
      </c>
      <c r="E9" s="71" t="str">
        <f aca="false">IF('Invoice &amp; Delivery Log'!$A9="","",IF('Invoice &amp; Delivery Log'!$Y9="Yes",'Invoice &amp; Delivery Log'!$P9,""))</f>
        <v/>
      </c>
      <c r="F9" s="52" t="str">
        <f aca="false">IF(OR($E9="",$D9=""),"",$D9-Settings!$C$5)</f>
        <v/>
      </c>
      <c r="G9" s="53" t="str">
        <f aca="false">IF($A9="","",IF($E9="","Closed",IF($F9="","No Due Date",IF($F9&lt;0,"Overdue",IF($F9&lt;=Settings!$C$11,"Due in 0-7 Days",IF($F9&lt;=2*Settings!$C$11,"Due in 8-14 Days",IF($F9&lt;=Settings!$C$12,"Due in 15-30 Days","Due in 31+ Days")))))))</f>
        <v>Closed</v>
      </c>
      <c r="H9" s="49" t="str">
        <f aca="false">IF('Invoice &amp; Delivery Log'!$Z9="","",'Invoice &amp; Delivery Log'!$Z9)</f>
        <v/>
      </c>
      <c r="I9" s="56"/>
      <c r="J9" s="58"/>
      <c r="K9" s="50" t="str">
        <f aca="false">IF($E9="","",ROUND($E9-N($J9),2))</f>
        <v/>
      </c>
      <c r="L9" s="62" t="str">
        <f aca="false">IF($A9="","",IF($E9="","No action needed",IF(AND(N($J9)&gt;0,$I9=""),"Missing planned date",IF(ROUND(N($J9)-$E9,2)&gt;0,"Planned amount exceeds balance",IF(AND($I9&lt;&gt;"",$I9&lt;Settings!$C$5),"Planned date is in the past",IF(N($J9)&lt;=0,"Not planned yet",IF(ROUND($K9,2)&lt;=0,"Fully planned","Partly planned")))))))</f>
        <v>No action needed</v>
      </c>
    </row>
    <row r="10" customFormat="false" ht="15" hidden="false" customHeight="true" outlineLevel="0" collapsed="false">
      <c r="A10" s="63" t="str">
        <f aca="false">IF('Invoice &amp; Delivery Log'!$A10="","",'Invoice &amp; Delivery Log'!$A10)</f>
        <v>INV-1003</v>
      </c>
      <c r="B10" s="55" t="str">
        <f aca="false">IF('Invoice &amp; Delivery Log'!$A10="","",'Invoice &amp; Delivery Log'!$C10)</f>
        <v>Harborline Logistics</v>
      </c>
      <c r="C10" s="64" t="n">
        <f aca="false">IF('Invoice &amp; Delivery Log'!$A10="","",'Invoice &amp; Delivery Log'!$H10)</f>
        <v>46091</v>
      </c>
      <c r="D10" s="64" t="n">
        <f aca="false">IF('Invoice &amp; Delivery Log'!$A10="","",'Invoice &amp; Delivery Log'!$M10)</f>
        <v>46121</v>
      </c>
      <c r="E10" s="70" t="n">
        <f aca="false">IF('Invoice &amp; Delivery Log'!$A10="","",IF('Invoice &amp; Delivery Log'!$Y10="Yes",'Invoice &amp; Delivery Log'!$P10,""))</f>
        <v>6019.33</v>
      </c>
      <c r="F10" s="47" t="n">
        <f aca="false">IF(OR($E10="",$D10=""),"",$D10-Settings!$C$5)</f>
        <v>-151</v>
      </c>
      <c r="G10" s="36" t="str">
        <f aca="false">IF($A10="","",IF($E10="","Closed",IF($F10="","No Due Date",IF($F10&lt;0,"Overdue",IF($F10&lt;=Settings!$C$11,"Due in 0-7 Days",IF($F10&lt;=2*Settings!$C$11,"Due in 8-14 Days",IF($F10&lt;=Settings!$C$12,"Due in 15-30 Days","Due in 31+ Days")))))))</f>
        <v>Overdue</v>
      </c>
      <c r="H10" s="29" t="n">
        <f aca="false">IF('Invoice &amp; Delivery Log'!$Z10="","",'Invoice &amp; Delivery Log'!$Z10)</f>
        <v>1</v>
      </c>
      <c r="I10" s="56" t="n">
        <v>46273</v>
      </c>
      <c r="J10" s="58" t="n">
        <v>3009.66</v>
      </c>
      <c r="K10" s="30" t="n">
        <f aca="false">IF($E10="","",ROUND($E10-N($J10),2))</f>
        <v>3009.67</v>
      </c>
      <c r="L10" s="28" t="str">
        <f aca="false">IF($A10="","",IF($E10="","No action needed",IF(AND(N($J10)&gt;0,$I10=""),"Missing planned date",IF(ROUND(N($J10)-$E10,2)&gt;0,"Planned amount exceeds balance",IF(AND($I10&lt;&gt;"",$I10&lt;Settings!$C$5),"Planned date is in the past",IF(N($J10)&lt;=0,"Not planned yet",IF(ROUND($K10,2)&lt;=0,"Fully planned","Partly planned")))))))</f>
        <v>Partly planned</v>
      </c>
    </row>
    <row r="11" customFormat="false" ht="15" hidden="false" customHeight="true" outlineLevel="0" collapsed="false">
      <c r="A11" s="65" t="str">
        <f aca="false">IF('Invoice &amp; Delivery Log'!$A11="","",'Invoice &amp; Delivery Log'!$A11)</f>
        <v>INV-1004</v>
      </c>
      <c r="B11" s="59" t="str">
        <f aca="false">IF('Invoice &amp; Delivery Log'!$A11="","",'Invoice &amp; Delivery Log'!$C11)</f>
        <v>Cascade Foods Distribution</v>
      </c>
      <c r="C11" s="66" t="n">
        <f aca="false">IF('Invoice &amp; Delivery Log'!$A11="","",'Invoice &amp; Delivery Log'!$H11)</f>
        <v>46090</v>
      </c>
      <c r="D11" s="66" t="n">
        <f aca="false">IF('Invoice &amp; Delivery Log'!$A11="","",'Invoice &amp; Delivery Log'!$M11)</f>
        <v>46105</v>
      </c>
      <c r="E11" s="71" t="str">
        <f aca="false">IF('Invoice &amp; Delivery Log'!$A11="","",IF('Invoice &amp; Delivery Log'!$Y11="Yes",'Invoice &amp; Delivery Log'!$P11,""))</f>
        <v/>
      </c>
      <c r="F11" s="52" t="str">
        <f aca="false">IF(OR($E11="",$D11=""),"",$D11-Settings!$C$5)</f>
        <v/>
      </c>
      <c r="G11" s="53" t="str">
        <f aca="false">IF($A11="","",IF($E11="","Closed",IF($F11="","No Due Date",IF($F11&lt;0,"Overdue",IF($F11&lt;=Settings!$C$11,"Due in 0-7 Days",IF($F11&lt;=2*Settings!$C$11,"Due in 8-14 Days",IF($F11&lt;=Settings!$C$12,"Due in 15-30 Days","Due in 31+ Days")))))))</f>
        <v>Closed</v>
      </c>
      <c r="H11" s="49" t="str">
        <f aca="false">IF('Invoice &amp; Delivery Log'!$Z11="","",'Invoice &amp; Delivery Log'!$Z11)</f>
        <v/>
      </c>
      <c r="I11" s="56"/>
      <c r="J11" s="58"/>
      <c r="K11" s="50" t="str">
        <f aca="false">IF($E11="","",ROUND($E11-N($J11),2))</f>
        <v/>
      </c>
      <c r="L11" s="62" t="str">
        <f aca="false">IF($A11="","",IF($E11="","No action needed",IF(AND(N($J11)&gt;0,$I11=""),"Missing planned date",IF(ROUND(N($J11)-$E11,2)&gt;0,"Planned amount exceeds balance",IF(AND($I11&lt;&gt;"",$I11&lt;Settings!$C$5),"Planned date is in the past",IF(N($J11)&lt;=0,"Not planned yet",IF(ROUND($K11,2)&lt;=0,"Fully planned","Partly planned")))))))</f>
        <v>No action needed</v>
      </c>
    </row>
    <row r="12" customFormat="false" ht="15" hidden="false" customHeight="true" outlineLevel="0" collapsed="false">
      <c r="A12" s="63" t="str">
        <f aca="false">IF('Invoice &amp; Delivery Log'!$A12="","",'Invoice &amp; Delivery Log'!$A12)</f>
        <v>INV-1005</v>
      </c>
      <c r="B12" s="55" t="str">
        <f aca="false">IF('Invoice &amp; Delivery Log'!$A12="","",'Invoice &amp; Delivery Log'!$C12)</f>
        <v>Harborline Logistics</v>
      </c>
      <c r="C12" s="64" t="n">
        <f aca="false">IF('Invoice &amp; Delivery Log'!$A12="","",'Invoice &amp; Delivery Log'!$H12)</f>
        <v>46094</v>
      </c>
      <c r="D12" s="64" t="n">
        <f aca="false">IF('Invoice &amp; Delivery Log'!$A12="","",'Invoice &amp; Delivery Log'!$M12)</f>
        <v>46124</v>
      </c>
      <c r="E12" s="70" t="str">
        <f aca="false">IF('Invoice &amp; Delivery Log'!$A12="","",IF('Invoice &amp; Delivery Log'!$Y12="Yes",'Invoice &amp; Delivery Log'!$P12,""))</f>
        <v/>
      </c>
      <c r="F12" s="47" t="str">
        <f aca="false">IF(OR($E12="",$D12=""),"",$D12-Settings!$C$5)</f>
        <v/>
      </c>
      <c r="G12" s="36" t="str">
        <f aca="false">IF($A12="","",IF($E12="","Closed",IF($F12="","No Due Date",IF($F12&lt;0,"Overdue",IF($F12&lt;=Settings!$C$11,"Due in 0-7 Days",IF($F12&lt;=2*Settings!$C$11,"Due in 8-14 Days",IF($F12&lt;=Settings!$C$12,"Due in 15-30 Days","Due in 31+ Days")))))))</f>
        <v>Closed</v>
      </c>
      <c r="H12" s="29" t="str">
        <f aca="false">IF('Invoice &amp; Delivery Log'!$Z12="","",'Invoice &amp; Delivery Log'!$Z12)</f>
        <v/>
      </c>
      <c r="I12" s="56"/>
      <c r="J12" s="58"/>
      <c r="K12" s="30" t="str">
        <f aca="false">IF($E12="","",ROUND($E12-N($J12),2))</f>
        <v/>
      </c>
      <c r="L12" s="28" t="str">
        <f aca="false">IF($A12="","",IF($E12="","No action needed",IF(AND(N($J12)&gt;0,$I12=""),"Missing planned date",IF(ROUND(N($J12)-$E12,2)&gt;0,"Planned amount exceeds balance",IF(AND($I12&lt;&gt;"",$I12&lt;Settings!$C$5),"Planned date is in the past",IF(N($J12)&lt;=0,"Not planned yet",IF(ROUND($K12,2)&lt;=0,"Fully planned","Partly planned")))))))</f>
        <v>No action needed</v>
      </c>
    </row>
    <row r="13" customFormat="false" ht="15" hidden="false" customHeight="true" outlineLevel="0" collapsed="false">
      <c r="A13" s="65" t="str">
        <f aca="false">IF('Invoice &amp; Delivery Log'!$A13="","",'Invoice &amp; Delivery Log'!$A13)</f>
        <v>INV-1006</v>
      </c>
      <c r="B13" s="59" t="str">
        <f aca="false">IF('Invoice &amp; Delivery Log'!$A13="","",'Invoice &amp; Delivery Log'!$C13)</f>
        <v>Summit Cleaning Services</v>
      </c>
      <c r="C13" s="66" t="n">
        <f aca="false">IF('Invoice &amp; Delivery Log'!$A13="","",'Invoice &amp; Delivery Log'!$H13)</f>
        <v>46095</v>
      </c>
      <c r="D13" s="66" t="n">
        <f aca="false">IF('Invoice &amp; Delivery Log'!$A13="","",'Invoice &amp; Delivery Log'!$M13)</f>
        <v>46109</v>
      </c>
      <c r="E13" s="71" t="str">
        <f aca="false">IF('Invoice &amp; Delivery Log'!$A13="","",IF('Invoice &amp; Delivery Log'!$Y13="Yes",'Invoice &amp; Delivery Log'!$P13,""))</f>
        <v/>
      </c>
      <c r="F13" s="52" t="str">
        <f aca="false">IF(OR($E13="",$D13=""),"",$D13-Settings!$C$5)</f>
        <v/>
      </c>
      <c r="G13" s="53" t="str">
        <f aca="false">IF($A13="","",IF($E13="","Closed",IF($F13="","No Due Date",IF($F13&lt;0,"Overdue",IF($F13&lt;=Settings!$C$11,"Due in 0-7 Days",IF($F13&lt;=2*Settings!$C$11,"Due in 8-14 Days",IF($F13&lt;=Settings!$C$12,"Due in 15-30 Days","Due in 31+ Days")))))))</f>
        <v>Closed</v>
      </c>
      <c r="H13" s="49" t="str">
        <f aca="false">IF('Invoice &amp; Delivery Log'!$Z13="","",'Invoice &amp; Delivery Log'!$Z13)</f>
        <v/>
      </c>
      <c r="I13" s="56"/>
      <c r="J13" s="58"/>
      <c r="K13" s="50" t="str">
        <f aca="false">IF($E13="","",ROUND($E13-N($J13),2))</f>
        <v/>
      </c>
      <c r="L13" s="62" t="str">
        <f aca="false">IF($A13="","",IF($E13="","No action needed",IF(AND(N($J13)&gt;0,$I13=""),"Missing planned date",IF(ROUND(N($J13)-$E13,2)&gt;0,"Planned amount exceeds balance",IF(AND($I13&lt;&gt;"",$I13&lt;Settings!$C$5),"Planned date is in the past",IF(N($J13)&lt;=0,"Not planned yet",IF(ROUND($K13,2)&lt;=0,"Fully planned","Partly planned")))))))</f>
        <v>No action needed</v>
      </c>
    </row>
    <row r="14" customFormat="false" ht="15" hidden="false" customHeight="true" outlineLevel="0" collapsed="false">
      <c r="A14" s="63" t="str">
        <f aca="false">IF('Invoice &amp; Delivery Log'!$A14="","",'Invoice &amp; Delivery Log'!$A14)</f>
        <v>INV-1007</v>
      </c>
      <c r="B14" s="55" t="str">
        <f aca="false">IF('Invoice &amp; Delivery Log'!$A14="","",'Invoice &amp; Delivery Log'!$C14)</f>
        <v>Willowbrook Beverage Co.</v>
      </c>
      <c r="C14" s="64" t="n">
        <f aca="false">IF('Invoice &amp; Delivery Log'!$A14="","",'Invoice &amp; Delivery Log'!$H14)</f>
        <v>46099</v>
      </c>
      <c r="D14" s="64" t="n">
        <f aca="false">IF('Invoice &amp; Delivery Log'!$A14="","",'Invoice &amp; Delivery Log'!$M14)</f>
        <v>46114</v>
      </c>
      <c r="E14" s="70" t="str">
        <f aca="false">IF('Invoice &amp; Delivery Log'!$A14="","",IF('Invoice &amp; Delivery Log'!$Y14="Yes",'Invoice &amp; Delivery Log'!$P14,""))</f>
        <v/>
      </c>
      <c r="F14" s="47" t="str">
        <f aca="false">IF(OR($E14="",$D14=""),"",$D14-Settings!$C$5)</f>
        <v/>
      </c>
      <c r="G14" s="36" t="str">
        <f aca="false">IF($A14="","",IF($E14="","Closed",IF($F14="","No Due Date",IF($F14&lt;0,"Overdue",IF($F14&lt;=Settings!$C$11,"Due in 0-7 Days",IF($F14&lt;=2*Settings!$C$11,"Due in 8-14 Days",IF($F14&lt;=Settings!$C$12,"Due in 15-30 Days","Due in 31+ Days")))))))</f>
        <v>Closed</v>
      </c>
      <c r="H14" s="29" t="str">
        <f aca="false">IF('Invoice &amp; Delivery Log'!$Z14="","",'Invoice &amp; Delivery Log'!$Z14)</f>
        <v/>
      </c>
      <c r="I14" s="56"/>
      <c r="J14" s="58"/>
      <c r="K14" s="30" t="str">
        <f aca="false">IF($E14="","",ROUND($E14-N($J14),2))</f>
        <v/>
      </c>
      <c r="L14" s="28" t="str">
        <f aca="false">IF($A14="","",IF($E14="","No action needed",IF(AND(N($J14)&gt;0,$I14=""),"Missing planned date",IF(ROUND(N($J14)-$E14,2)&gt;0,"Planned amount exceeds balance",IF(AND($I14&lt;&gt;"",$I14&lt;Settings!$C$5),"Planned date is in the past",IF(N($J14)&lt;=0,"Not planned yet",IF(ROUND($K14,2)&lt;=0,"Fully planned","Partly planned")))))))</f>
        <v>No action needed</v>
      </c>
    </row>
    <row r="15" customFormat="false" ht="15" hidden="false" customHeight="true" outlineLevel="0" collapsed="false">
      <c r="A15" s="65" t="str">
        <f aca="false">IF('Invoice &amp; Delivery Log'!$A15="","",'Invoice &amp; Delivery Log'!$A15)</f>
        <v>INV-1008</v>
      </c>
      <c r="B15" s="59" t="str">
        <f aca="false">IF('Invoice &amp; Delivery Log'!$A15="","",'Invoice &amp; Delivery Log'!$C15)</f>
        <v>Northwind Paper Supply</v>
      </c>
      <c r="C15" s="66" t="n">
        <f aca="false">IF('Invoice &amp; Delivery Log'!$A15="","",'Invoice &amp; Delivery Log'!$H15)</f>
        <v>46101</v>
      </c>
      <c r="D15" s="66" t="n">
        <f aca="false">IF('Invoice &amp; Delivery Log'!$A15="","",'Invoice &amp; Delivery Log'!$M15)</f>
        <v>46131</v>
      </c>
      <c r="E15" s="71" t="str">
        <f aca="false">IF('Invoice &amp; Delivery Log'!$A15="","",IF('Invoice &amp; Delivery Log'!$Y15="Yes",'Invoice &amp; Delivery Log'!$P15,""))</f>
        <v/>
      </c>
      <c r="F15" s="52" t="str">
        <f aca="false">IF(OR($E15="",$D15=""),"",$D15-Settings!$C$5)</f>
        <v/>
      </c>
      <c r="G15" s="53" t="str">
        <f aca="false">IF($A15="","",IF($E15="","Closed",IF($F15="","No Due Date",IF($F15&lt;0,"Overdue",IF($F15&lt;=Settings!$C$11,"Due in 0-7 Days",IF($F15&lt;=2*Settings!$C$11,"Due in 8-14 Days",IF($F15&lt;=Settings!$C$12,"Due in 15-30 Days","Due in 31+ Days")))))))</f>
        <v>Closed</v>
      </c>
      <c r="H15" s="49" t="str">
        <f aca="false">IF('Invoice &amp; Delivery Log'!$Z15="","",'Invoice &amp; Delivery Log'!$Z15)</f>
        <v/>
      </c>
      <c r="I15" s="56"/>
      <c r="J15" s="58"/>
      <c r="K15" s="50" t="str">
        <f aca="false">IF($E15="","",ROUND($E15-N($J15),2))</f>
        <v/>
      </c>
      <c r="L15" s="62" t="str">
        <f aca="false">IF($A15="","",IF($E15="","No action needed",IF(AND(N($J15)&gt;0,$I15=""),"Missing planned date",IF(ROUND(N($J15)-$E15,2)&gt;0,"Planned amount exceeds balance",IF(AND($I15&lt;&gt;"",$I15&lt;Settings!$C$5),"Planned date is in the past",IF(N($J15)&lt;=0,"Not planned yet",IF(ROUND($K15,2)&lt;=0,"Fully planned","Partly planned")))))))</f>
        <v>No action needed</v>
      </c>
    </row>
    <row r="16" customFormat="false" ht="15" hidden="false" customHeight="true" outlineLevel="0" collapsed="false">
      <c r="A16" s="63" t="str">
        <f aca="false">IF('Invoice &amp; Delivery Log'!$A16="","",'Invoice &amp; Delivery Log'!$A16)</f>
        <v>INV-1009</v>
      </c>
      <c r="B16" s="55" t="str">
        <f aca="false">IF('Invoice &amp; Delivery Log'!$A16="","",'Invoice &amp; Delivery Log'!$C16)</f>
        <v>Redstone Safety Equipment</v>
      </c>
      <c r="C16" s="64" t="n">
        <f aca="false">IF('Invoice &amp; Delivery Log'!$A16="","",'Invoice &amp; Delivery Log'!$H16)</f>
        <v>46106</v>
      </c>
      <c r="D16" s="64" t="n">
        <f aca="false">IF('Invoice &amp; Delivery Log'!$A16="","",'Invoice &amp; Delivery Log'!$M16)</f>
        <v>46136</v>
      </c>
      <c r="E16" s="70" t="str">
        <f aca="false">IF('Invoice &amp; Delivery Log'!$A16="","",IF('Invoice &amp; Delivery Log'!$Y16="Yes",'Invoice &amp; Delivery Log'!$P16,""))</f>
        <v/>
      </c>
      <c r="F16" s="47" t="str">
        <f aca="false">IF(OR($E16="",$D16=""),"",$D16-Settings!$C$5)</f>
        <v/>
      </c>
      <c r="G16" s="36" t="str">
        <f aca="false">IF($A16="","",IF($E16="","Closed",IF($F16="","No Due Date",IF($F16&lt;0,"Overdue",IF($F16&lt;=Settings!$C$11,"Due in 0-7 Days",IF($F16&lt;=2*Settings!$C$11,"Due in 8-14 Days",IF($F16&lt;=Settings!$C$12,"Due in 15-30 Days","Due in 31+ Days")))))))</f>
        <v>Closed</v>
      </c>
      <c r="H16" s="29" t="str">
        <f aca="false">IF('Invoice &amp; Delivery Log'!$Z16="","",'Invoice &amp; Delivery Log'!$Z16)</f>
        <v/>
      </c>
      <c r="I16" s="56"/>
      <c r="J16" s="58"/>
      <c r="K16" s="30" t="str">
        <f aca="false">IF($E16="","",ROUND($E16-N($J16),2))</f>
        <v/>
      </c>
      <c r="L16" s="28" t="str">
        <f aca="false">IF($A16="","",IF($E16="","No action needed",IF(AND(N($J16)&gt;0,$I16=""),"Missing planned date",IF(ROUND(N($J16)-$E16,2)&gt;0,"Planned amount exceeds balance",IF(AND($I16&lt;&gt;"",$I16&lt;Settings!$C$5),"Planned date is in the past",IF(N($J16)&lt;=0,"Not planned yet",IF(ROUND($K16,2)&lt;=0,"Fully planned","Partly planned")))))))</f>
        <v>No action needed</v>
      </c>
    </row>
    <row r="17" customFormat="false" ht="15" hidden="false" customHeight="true" outlineLevel="0" collapsed="false">
      <c r="A17" s="65" t="str">
        <f aca="false">IF('Invoice &amp; Delivery Log'!$A17="","",'Invoice &amp; Delivery Log'!$A17)</f>
        <v>INV-1010</v>
      </c>
      <c r="B17" s="59" t="str">
        <f aca="false">IF('Invoice &amp; Delivery Log'!$A17="","",'Invoice &amp; Delivery Log'!$C17)</f>
        <v>Copperfield Textiles</v>
      </c>
      <c r="C17" s="66" t="n">
        <f aca="false">IF('Invoice &amp; Delivery Log'!$A17="","",'Invoice &amp; Delivery Log'!$H17)</f>
        <v>46107</v>
      </c>
      <c r="D17" s="66" t="n">
        <f aca="false">IF('Invoice &amp; Delivery Log'!$A17="","",'Invoice &amp; Delivery Log'!$M17)</f>
        <v>46167</v>
      </c>
      <c r="E17" s="71" t="n">
        <f aca="false">IF('Invoice &amp; Delivery Log'!$A17="","",IF('Invoice &amp; Delivery Log'!$Y17="Yes",'Invoice &amp; Delivery Log'!$P17,""))</f>
        <v>9042.96</v>
      </c>
      <c r="F17" s="52" t="n">
        <f aca="false">IF(OR($E17="",$D17=""),"",$D17-Settings!$C$5)</f>
        <v>-105</v>
      </c>
      <c r="G17" s="53" t="str">
        <f aca="false">IF($A17="","",IF($E17="","Closed",IF($F17="","No Due Date",IF($F17&lt;0,"Overdue",IF($F17&lt;=Settings!$C$11,"Due in 0-7 Days",IF($F17&lt;=2*Settings!$C$11,"Due in 8-14 Days",IF($F17&lt;=Settings!$C$12,"Due in 15-30 Days","Due in 31+ Days")))))))</f>
        <v>Overdue</v>
      </c>
      <c r="H17" s="49" t="n">
        <f aca="false">IF('Invoice &amp; Delivery Log'!$Z17="","",'Invoice &amp; Delivery Log'!$Z17)</f>
        <v>3</v>
      </c>
      <c r="I17" s="56" t="n">
        <v>46275</v>
      </c>
      <c r="J17" s="58" t="n">
        <v>9042.96</v>
      </c>
      <c r="K17" s="50" t="n">
        <f aca="false">IF($E17="","",ROUND($E17-N($J17),2))</f>
        <v>0</v>
      </c>
      <c r="L17" s="62" t="str">
        <f aca="false">IF($A17="","",IF($E17="","No action needed",IF(AND(N($J17)&gt;0,$I17=""),"Missing planned date",IF(ROUND(N($J17)-$E17,2)&gt;0,"Planned amount exceeds balance",IF(AND($I17&lt;&gt;"",$I17&lt;Settings!$C$5),"Planned date is in the past",IF(N($J17)&lt;=0,"Not planned yet",IF(ROUND($K17,2)&lt;=0,"Fully planned","Partly planned")))))))</f>
        <v>Fully planned</v>
      </c>
    </row>
    <row r="18" customFormat="false" ht="15" hidden="false" customHeight="true" outlineLevel="0" collapsed="false">
      <c r="A18" s="63" t="str">
        <f aca="false">IF('Invoice &amp; Delivery Log'!$A18="","",'Invoice &amp; Delivery Log'!$A18)</f>
        <v>INV-1011</v>
      </c>
      <c r="B18" s="55" t="str">
        <f aca="false">IF('Invoice &amp; Delivery Log'!$A18="","",'Invoice &amp; Delivery Log'!$C18)</f>
        <v>Harborline Logistics</v>
      </c>
      <c r="C18" s="64" t="n">
        <f aca="false">IF('Invoice &amp; Delivery Log'!$A18="","",'Invoice &amp; Delivery Log'!$H18)</f>
        <v>46106</v>
      </c>
      <c r="D18" s="64" t="n">
        <f aca="false">IF('Invoice &amp; Delivery Log'!$A18="","",'Invoice &amp; Delivery Log'!$M18)</f>
        <v>46136</v>
      </c>
      <c r="E18" s="70" t="str">
        <f aca="false">IF('Invoice &amp; Delivery Log'!$A18="","",IF('Invoice &amp; Delivery Log'!$Y18="Yes",'Invoice &amp; Delivery Log'!$P18,""))</f>
        <v/>
      </c>
      <c r="F18" s="47" t="str">
        <f aca="false">IF(OR($E18="",$D18=""),"",$D18-Settings!$C$5)</f>
        <v/>
      </c>
      <c r="G18" s="36" t="str">
        <f aca="false">IF($A18="","",IF($E18="","Closed",IF($F18="","No Due Date",IF($F18&lt;0,"Overdue",IF($F18&lt;=Settings!$C$11,"Due in 0-7 Days",IF($F18&lt;=2*Settings!$C$11,"Due in 8-14 Days",IF($F18&lt;=Settings!$C$12,"Due in 15-30 Days","Due in 31+ Days")))))))</f>
        <v>Closed</v>
      </c>
      <c r="H18" s="29" t="str">
        <f aca="false">IF('Invoice &amp; Delivery Log'!$Z18="","",'Invoice &amp; Delivery Log'!$Z18)</f>
        <v/>
      </c>
      <c r="I18" s="56"/>
      <c r="J18" s="58"/>
      <c r="K18" s="30" t="str">
        <f aca="false">IF($E18="","",ROUND($E18-N($J18),2))</f>
        <v/>
      </c>
      <c r="L18" s="28" t="str">
        <f aca="false">IF($A18="","",IF($E18="","No action needed",IF(AND(N($J18)&gt;0,$I18=""),"Missing planned date",IF(ROUND(N($J18)-$E18,2)&gt;0,"Planned amount exceeds balance",IF(AND($I18&lt;&gt;"",$I18&lt;Settings!$C$5),"Planned date is in the past",IF(N($J18)&lt;=0,"Not planned yet",IF(ROUND($K18,2)&lt;=0,"Fully planned","Partly planned")))))))</f>
        <v>No action needed</v>
      </c>
    </row>
    <row r="19" customFormat="false" ht="15" hidden="false" customHeight="true" outlineLevel="0" collapsed="false">
      <c r="A19" s="65" t="str">
        <f aca="false">IF('Invoice &amp; Delivery Log'!$A19="","",'Invoice &amp; Delivery Log'!$A19)</f>
        <v>INV-1012</v>
      </c>
      <c r="B19" s="59" t="str">
        <f aca="false">IF('Invoice &amp; Delivery Log'!$A19="","",'Invoice &amp; Delivery Log'!$C19)</f>
        <v>Summit Cleaning Services</v>
      </c>
      <c r="C19" s="66" t="n">
        <f aca="false">IF('Invoice &amp; Delivery Log'!$A19="","",'Invoice &amp; Delivery Log'!$H19)</f>
        <v>46115</v>
      </c>
      <c r="D19" s="66" t="n">
        <f aca="false">IF('Invoice &amp; Delivery Log'!$A19="","",'Invoice &amp; Delivery Log'!$M19)</f>
        <v>46129</v>
      </c>
      <c r="E19" s="71" t="str">
        <f aca="false">IF('Invoice &amp; Delivery Log'!$A19="","",IF('Invoice &amp; Delivery Log'!$Y19="Yes",'Invoice &amp; Delivery Log'!$P19,""))</f>
        <v/>
      </c>
      <c r="F19" s="52" t="str">
        <f aca="false">IF(OR($E19="",$D19=""),"",$D19-Settings!$C$5)</f>
        <v/>
      </c>
      <c r="G19" s="53" t="str">
        <f aca="false">IF($A19="","",IF($E19="","Closed",IF($F19="","No Due Date",IF($F19&lt;0,"Overdue",IF($F19&lt;=Settings!$C$11,"Due in 0-7 Days",IF($F19&lt;=2*Settings!$C$11,"Due in 8-14 Days",IF($F19&lt;=Settings!$C$12,"Due in 15-30 Days","Due in 31+ Days")))))))</f>
        <v>Closed</v>
      </c>
      <c r="H19" s="49" t="str">
        <f aca="false">IF('Invoice &amp; Delivery Log'!$Z19="","",'Invoice &amp; Delivery Log'!$Z19)</f>
        <v/>
      </c>
      <c r="I19" s="56"/>
      <c r="J19" s="58"/>
      <c r="K19" s="50" t="str">
        <f aca="false">IF($E19="","",ROUND($E19-N($J19),2))</f>
        <v/>
      </c>
      <c r="L19" s="62" t="str">
        <f aca="false">IF($A19="","",IF($E19="","No action needed",IF(AND(N($J19)&gt;0,$I19=""),"Missing planned date",IF(ROUND(N($J19)-$E19,2)&gt;0,"Planned amount exceeds balance",IF(AND($I19&lt;&gt;"",$I19&lt;Settings!$C$5),"Planned date is in the past",IF(N($J19)&lt;=0,"Not planned yet",IF(ROUND($K19,2)&lt;=0,"Fully planned","Partly planned")))))))</f>
        <v>No action needed</v>
      </c>
    </row>
    <row r="20" customFormat="false" ht="15" hidden="false" customHeight="true" outlineLevel="0" collapsed="false">
      <c r="A20" s="63" t="str">
        <f aca="false">IF('Invoice &amp; Delivery Log'!$A20="","",'Invoice &amp; Delivery Log'!$A20)</f>
        <v>INV-1013</v>
      </c>
      <c r="B20" s="55" t="str">
        <f aca="false">IF('Invoice &amp; Delivery Log'!$A20="","",'Invoice &amp; Delivery Log'!$C20)</f>
        <v>Vertex IT Solutions</v>
      </c>
      <c r="C20" s="64" t="n">
        <f aca="false">IF('Invoice &amp; Delivery Log'!$A20="","",'Invoice &amp; Delivery Log'!$H20)</f>
        <v>46110</v>
      </c>
      <c r="D20" s="64" t="n">
        <f aca="false">IF('Invoice &amp; Delivery Log'!$A20="","",'Invoice &amp; Delivery Log'!$M20)</f>
        <v>46140</v>
      </c>
      <c r="E20" s="70" t="str">
        <f aca="false">IF('Invoice &amp; Delivery Log'!$A20="","",IF('Invoice &amp; Delivery Log'!$Y20="Yes",'Invoice &amp; Delivery Log'!$P20,""))</f>
        <v/>
      </c>
      <c r="F20" s="47" t="str">
        <f aca="false">IF(OR($E20="",$D20=""),"",$D20-Settings!$C$5)</f>
        <v/>
      </c>
      <c r="G20" s="36" t="str">
        <f aca="false">IF($A20="","",IF($E20="","Closed",IF($F20="","No Due Date",IF($F20&lt;0,"Overdue",IF($F20&lt;=Settings!$C$11,"Due in 0-7 Days",IF($F20&lt;=2*Settings!$C$11,"Due in 8-14 Days",IF($F20&lt;=Settings!$C$12,"Due in 15-30 Days","Due in 31+ Days")))))))</f>
        <v>Closed</v>
      </c>
      <c r="H20" s="29" t="str">
        <f aca="false">IF('Invoice &amp; Delivery Log'!$Z20="","",'Invoice &amp; Delivery Log'!$Z20)</f>
        <v/>
      </c>
      <c r="I20" s="56"/>
      <c r="J20" s="58"/>
      <c r="K20" s="30" t="str">
        <f aca="false">IF($E20="","",ROUND($E20-N($J20),2))</f>
        <v/>
      </c>
      <c r="L20" s="28" t="str">
        <f aca="false">IF($A20="","",IF($E20="","No action needed",IF(AND(N($J20)&gt;0,$I20=""),"Missing planned date",IF(ROUND(N($J20)-$E20,2)&gt;0,"Planned amount exceeds balance",IF(AND($I20&lt;&gt;"",$I20&lt;Settings!$C$5),"Planned date is in the past",IF(N($J20)&lt;=0,"Not planned yet",IF(ROUND($K20,2)&lt;=0,"Fully planned","Partly planned")))))))</f>
        <v>No action needed</v>
      </c>
    </row>
    <row r="21" customFormat="false" ht="15" hidden="false" customHeight="true" outlineLevel="0" collapsed="false">
      <c r="A21" s="65" t="str">
        <f aca="false">IF('Invoice &amp; Delivery Log'!$A21="","",'Invoice &amp; Delivery Log'!$A21)</f>
        <v>INV-1014</v>
      </c>
      <c r="B21" s="59" t="str">
        <f aca="false">IF('Invoice &amp; Delivery Log'!$A21="","",'Invoice &amp; Delivery Log'!$C21)</f>
        <v>Ironbridge Hardware Co.</v>
      </c>
      <c r="C21" s="66" t="n">
        <f aca="false">IF('Invoice &amp; Delivery Log'!$A21="","",'Invoice &amp; Delivery Log'!$H21)</f>
        <v>46112</v>
      </c>
      <c r="D21" s="66" t="n">
        <f aca="false">IF('Invoice &amp; Delivery Log'!$A21="","",'Invoice &amp; Delivery Log'!$M21)</f>
        <v>46157</v>
      </c>
      <c r="E21" s="71" t="str">
        <f aca="false">IF('Invoice &amp; Delivery Log'!$A21="","",IF('Invoice &amp; Delivery Log'!$Y21="Yes",'Invoice &amp; Delivery Log'!$P21,""))</f>
        <v/>
      </c>
      <c r="F21" s="52" t="str">
        <f aca="false">IF(OR($E21="",$D21=""),"",$D21-Settings!$C$5)</f>
        <v/>
      </c>
      <c r="G21" s="53" t="str">
        <f aca="false">IF($A21="","",IF($E21="","Closed",IF($F21="","No Due Date",IF($F21&lt;0,"Overdue",IF($F21&lt;=Settings!$C$11,"Due in 0-7 Days",IF($F21&lt;=2*Settings!$C$11,"Due in 8-14 Days",IF($F21&lt;=Settings!$C$12,"Due in 15-30 Days","Due in 31+ Days")))))))</f>
        <v>Closed</v>
      </c>
      <c r="H21" s="49" t="str">
        <f aca="false">IF('Invoice &amp; Delivery Log'!$Z21="","",'Invoice &amp; Delivery Log'!$Z21)</f>
        <v/>
      </c>
      <c r="I21" s="56"/>
      <c r="J21" s="58"/>
      <c r="K21" s="50" t="str">
        <f aca="false">IF($E21="","",ROUND($E21-N($J21),2))</f>
        <v/>
      </c>
      <c r="L21" s="62" t="str">
        <f aca="false">IF($A21="","",IF($E21="","No action needed",IF(AND(N($J21)&gt;0,$I21=""),"Missing planned date",IF(ROUND(N($J21)-$E21,2)&gt;0,"Planned amount exceeds balance",IF(AND($I21&lt;&gt;"",$I21&lt;Settings!$C$5),"Planned date is in the past",IF(N($J21)&lt;=0,"Not planned yet",IF(ROUND($K21,2)&lt;=0,"Fully planned","Partly planned")))))))</f>
        <v>No action needed</v>
      </c>
    </row>
    <row r="22" customFormat="false" ht="15" hidden="false" customHeight="true" outlineLevel="0" collapsed="false">
      <c r="A22" s="63" t="str">
        <f aca="false">IF('Invoice &amp; Delivery Log'!$A22="","",'Invoice &amp; Delivery Log'!$A22)</f>
        <v>INV-1015</v>
      </c>
      <c r="B22" s="55" t="str">
        <f aca="false">IF('Invoice &amp; Delivery Log'!$A22="","",'Invoice &amp; Delivery Log'!$C22)</f>
        <v>Northwind Paper Supply</v>
      </c>
      <c r="C22" s="64" t="n">
        <f aca="false">IF('Invoice &amp; Delivery Log'!$A22="","",'Invoice &amp; Delivery Log'!$H22)</f>
        <v>46114</v>
      </c>
      <c r="D22" s="64" t="n">
        <f aca="false">IF('Invoice &amp; Delivery Log'!$A22="","",'Invoice &amp; Delivery Log'!$M22)</f>
        <v>46144</v>
      </c>
      <c r="E22" s="70" t="n">
        <f aca="false">IF('Invoice &amp; Delivery Log'!$A22="","",IF('Invoice &amp; Delivery Log'!$Y22="Yes",'Invoice &amp; Delivery Log'!$P22,""))</f>
        <v>2483.16</v>
      </c>
      <c r="F22" s="47" t="n">
        <f aca="false">IF(OR($E22="",$D22=""),"",$D22-Settings!$C$5)</f>
        <v>-128</v>
      </c>
      <c r="G22" s="36" t="str">
        <f aca="false">IF($A22="","",IF($E22="","Closed",IF($F22="","No Due Date",IF($F22&lt;0,"Overdue",IF($F22&lt;=Settings!$C$11,"Due in 0-7 Days",IF($F22&lt;=2*Settings!$C$11,"Due in 8-14 Days",IF($F22&lt;=Settings!$C$12,"Due in 15-30 Days","Due in 31+ Days")))))))</f>
        <v>Overdue</v>
      </c>
      <c r="H22" s="29" t="n">
        <f aca="false">IF('Invoice &amp; Delivery Log'!$Z22="","",'Invoice &amp; Delivery Log'!$Z22)</f>
        <v>2</v>
      </c>
      <c r="I22" s="56" t="n">
        <v>46274</v>
      </c>
      <c r="J22" s="58" t="n">
        <v>2483.16</v>
      </c>
      <c r="K22" s="30" t="n">
        <f aca="false">IF($E22="","",ROUND($E22-N($J22),2))</f>
        <v>0</v>
      </c>
      <c r="L22" s="28" t="str">
        <f aca="false">IF($A22="","",IF($E22="","No action needed",IF(AND(N($J22)&gt;0,$I22=""),"Missing planned date",IF(ROUND(N($J22)-$E22,2)&gt;0,"Planned amount exceeds balance",IF(AND($I22&lt;&gt;"",$I22&lt;Settings!$C$5),"Planned date is in the past",IF(N($J22)&lt;=0,"Not planned yet",IF(ROUND($K22,2)&lt;=0,"Fully planned","Partly planned")))))))</f>
        <v>Fully planned</v>
      </c>
    </row>
    <row r="23" customFormat="false" ht="15" hidden="false" customHeight="true" outlineLevel="0" collapsed="false">
      <c r="A23" s="65" t="str">
        <f aca="false">IF('Invoice &amp; Delivery Log'!$A23="","",'Invoice &amp; Delivery Log'!$A23)</f>
        <v>INV-1016</v>
      </c>
      <c r="B23" s="59" t="str">
        <f aca="false">IF('Invoice &amp; Delivery Log'!$A23="","",'Invoice &amp; Delivery Log'!$C23)</f>
        <v>Ironbridge Hardware Co.</v>
      </c>
      <c r="C23" s="66" t="n">
        <f aca="false">IF('Invoice &amp; Delivery Log'!$A23="","",'Invoice &amp; Delivery Log'!$H23)</f>
        <v>46116</v>
      </c>
      <c r="D23" s="66" t="n">
        <f aca="false">IF('Invoice &amp; Delivery Log'!$A23="","",'Invoice &amp; Delivery Log'!$M23)</f>
        <v>46161</v>
      </c>
      <c r="E23" s="71" t="str">
        <f aca="false">IF('Invoice &amp; Delivery Log'!$A23="","",IF('Invoice &amp; Delivery Log'!$Y23="Yes",'Invoice &amp; Delivery Log'!$P23,""))</f>
        <v/>
      </c>
      <c r="F23" s="52" t="str">
        <f aca="false">IF(OR($E23="",$D23=""),"",$D23-Settings!$C$5)</f>
        <v/>
      </c>
      <c r="G23" s="53" t="str">
        <f aca="false">IF($A23="","",IF($E23="","Closed",IF($F23="","No Due Date",IF($F23&lt;0,"Overdue",IF($F23&lt;=Settings!$C$11,"Due in 0-7 Days",IF($F23&lt;=2*Settings!$C$11,"Due in 8-14 Days",IF($F23&lt;=Settings!$C$12,"Due in 15-30 Days","Due in 31+ Days")))))))</f>
        <v>Closed</v>
      </c>
      <c r="H23" s="49" t="str">
        <f aca="false">IF('Invoice &amp; Delivery Log'!$Z23="","",'Invoice &amp; Delivery Log'!$Z23)</f>
        <v/>
      </c>
      <c r="I23" s="56"/>
      <c r="J23" s="58"/>
      <c r="K23" s="50" t="str">
        <f aca="false">IF($E23="","",ROUND($E23-N($J23),2))</f>
        <v/>
      </c>
      <c r="L23" s="62" t="str">
        <f aca="false">IF($A23="","",IF($E23="","No action needed",IF(AND(N($J23)&gt;0,$I23=""),"Missing planned date",IF(ROUND(N($J23)-$E23,2)&gt;0,"Planned amount exceeds balance",IF(AND($I23&lt;&gt;"",$I23&lt;Settings!$C$5),"Planned date is in the past",IF(N($J23)&lt;=0,"Not planned yet",IF(ROUND($K23,2)&lt;=0,"Fully planned","Partly planned")))))))</f>
        <v>No action needed</v>
      </c>
    </row>
    <row r="24" customFormat="false" ht="15" hidden="false" customHeight="true" outlineLevel="0" collapsed="false">
      <c r="A24" s="63" t="str">
        <f aca="false">IF('Invoice &amp; Delivery Log'!$A24="","",'Invoice &amp; Delivery Log'!$A24)</f>
        <v>INV-1017</v>
      </c>
      <c r="B24" s="55" t="str">
        <f aca="false">IF('Invoice &amp; Delivery Log'!$A24="","",'Invoice &amp; Delivery Log'!$C24)</f>
        <v>Vertex IT Solutions</v>
      </c>
      <c r="C24" s="64" t="n">
        <f aca="false">IF('Invoice &amp; Delivery Log'!$A24="","",'Invoice &amp; Delivery Log'!$H24)</f>
        <v>46116</v>
      </c>
      <c r="D24" s="64" t="n">
        <f aca="false">IF('Invoice &amp; Delivery Log'!$A24="","",'Invoice &amp; Delivery Log'!$M24)</f>
        <v>46146</v>
      </c>
      <c r="E24" s="70" t="str">
        <f aca="false">IF('Invoice &amp; Delivery Log'!$A24="","",IF('Invoice &amp; Delivery Log'!$Y24="Yes",'Invoice &amp; Delivery Log'!$P24,""))</f>
        <v/>
      </c>
      <c r="F24" s="47" t="str">
        <f aca="false">IF(OR($E24="",$D24=""),"",$D24-Settings!$C$5)</f>
        <v/>
      </c>
      <c r="G24" s="36" t="str">
        <f aca="false">IF($A24="","",IF($E24="","Closed",IF($F24="","No Due Date",IF($F24&lt;0,"Overdue",IF($F24&lt;=Settings!$C$11,"Due in 0-7 Days",IF($F24&lt;=2*Settings!$C$11,"Due in 8-14 Days",IF($F24&lt;=Settings!$C$12,"Due in 15-30 Days","Due in 31+ Days")))))))</f>
        <v>Closed</v>
      </c>
      <c r="H24" s="29" t="str">
        <f aca="false">IF('Invoice &amp; Delivery Log'!$Z24="","",'Invoice &amp; Delivery Log'!$Z24)</f>
        <v/>
      </c>
      <c r="I24" s="56"/>
      <c r="J24" s="58"/>
      <c r="K24" s="30" t="str">
        <f aca="false">IF($E24="","",ROUND($E24-N($J24),2))</f>
        <v/>
      </c>
      <c r="L24" s="28" t="str">
        <f aca="false">IF($A24="","",IF($E24="","No action needed",IF(AND(N($J24)&gt;0,$I24=""),"Missing planned date",IF(ROUND(N($J24)-$E24,2)&gt;0,"Planned amount exceeds balance",IF(AND($I24&lt;&gt;"",$I24&lt;Settings!$C$5),"Planned date is in the past",IF(N($J24)&lt;=0,"Not planned yet",IF(ROUND($K24,2)&lt;=0,"Fully planned","Partly planned")))))))</f>
        <v>No action needed</v>
      </c>
    </row>
    <row r="25" customFormat="false" ht="15" hidden="false" customHeight="true" outlineLevel="0" collapsed="false">
      <c r="A25" s="65" t="str">
        <f aca="false">IF('Invoice &amp; Delivery Log'!$A25="","",'Invoice &amp; Delivery Log'!$A25)</f>
        <v>INV-1018</v>
      </c>
      <c r="B25" s="59" t="str">
        <f aca="false">IF('Invoice &amp; Delivery Log'!$A25="","",'Invoice &amp; Delivery Log'!$C25)</f>
        <v>Cascade Foods Distribution</v>
      </c>
      <c r="C25" s="66" t="n">
        <f aca="false">IF('Invoice &amp; Delivery Log'!$A25="","",'Invoice &amp; Delivery Log'!$H25)</f>
        <v>46120</v>
      </c>
      <c r="D25" s="66" t="n">
        <f aca="false">IF('Invoice &amp; Delivery Log'!$A25="","",'Invoice &amp; Delivery Log'!$M25)</f>
        <v>46135</v>
      </c>
      <c r="E25" s="71" t="str">
        <f aca="false">IF('Invoice &amp; Delivery Log'!$A25="","",IF('Invoice &amp; Delivery Log'!$Y25="Yes",'Invoice &amp; Delivery Log'!$P25,""))</f>
        <v/>
      </c>
      <c r="F25" s="52" t="str">
        <f aca="false">IF(OR($E25="",$D25=""),"",$D25-Settings!$C$5)</f>
        <v/>
      </c>
      <c r="G25" s="53" t="str">
        <f aca="false">IF($A25="","",IF($E25="","Closed",IF($F25="","No Due Date",IF($F25&lt;0,"Overdue",IF($F25&lt;=Settings!$C$11,"Due in 0-7 Days",IF($F25&lt;=2*Settings!$C$11,"Due in 8-14 Days",IF($F25&lt;=Settings!$C$12,"Due in 15-30 Days","Due in 31+ Days")))))))</f>
        <v>Closed</v>
      </c>
      <c r="H25" s="49" t="str">
        <f aca="false">IF('Invoice &amp; Delivery Log'!$Z25="","",'Invoice &amp; Delivery Log'!$Z25)</f>
        <v/>
      </c>
      <c r="I25" s="56"/>
      <c r="J25" s="58"/>
      <c r="K25" s="50" t="str">
        <f aca="false">IF($E25="","",ROUND($E25-N($J25),2))</f>
        <v/>
      </c>
      <c r="L25" s="62" t="str">
        <f aca="false">IF($A25="","",IF($E25="","No action needed",IF(AND(N($J25)&gt;0,$I25=""),"Missing planned date",IF(ROUND(N($J25)-$E25,2)&gt;0,"Planned amount exceeds balance",IF(AND($I25&lt;&gt;"",$I25&lt;Settings!$C$5),"Planned date is in the past",IF(N($J25)&lt;=0,"Not planned yet",IF(ROUND($K25,2)&lt;=0,"Fully planned","Partly planned")))))))</f>
        <v>No action needed</v>
      </c>
    </row>
    <row r="26" customFormat="false" ht="15" hidden="false" customHeight="true" outlineLevel="0" collapsed="false">
      <c r="A26" s="63" t="str">
        <f aca="false">IF('Invoice &amp; Delivery Log'!$A26="","",'Invoice &amp; Delivery Log'!$A26)</f>
        <v>INV-1019</v>
      </c>
      <c r="B26" s="55" t="str">
        <f aca="false">IF('Invoice &amp; Delivery Log'!$A26="","",'Invoice &amp; Delivery Log'!$C26)</f>
        <v>Harborline Logistics</v>
      </c>
      <c r="C26" s="64" t="n">
        <f aca="false">IF('Invoice &amp; Delivery Log'!$A26="","",'Invoice &amp; Delivery Log'!$H26)</f>
        <v>46138</v>
      </c>
      <c r="D26" s="64" t="n">
        <f aca="false">IF('Invoice &amp; Delivery Log'!$A26="","",'Invoice &amp; Delivery Log'!$M26)</f>
        <v>46168</v>
      </c>
      <c r="E26" s="70" t="n">
        <f aca="false">IF('Invoice &amp; Delivery Log'!$A26="","",IF('Invoice &amp; Delivery Log'!$Y26="Yes",'Invoice &amp; Delivery Log'!$P26,""))</f>
        <v>767.7</v>
      </c>
      <c r="F26" s="47" t="n">
        <f aca="false">IF(OR($E26="",$D26=""),"",$D26-Settings!$C$5)</f>
        <v>-104</v>
      </c>
      <c r="G26" s="36" t="str">
        <f aca="false">IF($A26="","",IF($E26="","Closed",IF($F26="","No Due Date",IF($F26&lt;0,"Overdue",IF($F26&lt;=Settings!$C$11,"Due in 0-7 Days",IF($F26&lt;=2*Settings!$C$11,"Due in 8-14 Days",IF($F26&lt;=Settings!$C$12,"Due in 15-30 Days","Due in 31+ Days")))))))</f>
        <v>Overdue</v>
      </c>
      <c r="H26" s="29" t="n">
        <f aca="false">IF('Invoice &amp; Delivery Log'!$Z26="","",'Invoice &amp; Delivery Log'!$Z26)</f>
        <v>4</v>
      </c>
      <c r="I26" s="56" t="n">
        <v>46276</v>
      </c>
      <c r="J26" s="58" t="n">
        <v>767.7</v>
      </c>
      <c r="K26" s="30" t="n">
        <f aca="false">IF($E26="","",ROUND($E26-N($J26),2))</f>
        <v>0</v>
      </c>
      <c r="L26" s="28" t="str">
        <f aca="false">IF($A26="","",IF($E26="","No action needed",IF(AND(N($J26)&gt;0,$I26=""),"Missing planned date",IF(ROUND(N($J26)-$E26,2)&gt;0,"Planned amount exceeds balance",IF(AND($I26&lt;&gt;"",$I26&lt;Settings!$C$5),"Planned date is in the past",IF(N($J26)&lt;=0,"Not planned yet",IF(ROUND($K26,2)&lt;=0,"Fully planned","Partly planned")))))))</f>
        <v>Fully planned</v>
      </c>
    </row>
    <row r="27" customFormat="false" ht="15" hidden="false" customHeight="true" outlineLevel="0" collapsed="false">
      <c r="A27" s="65" t="str">
        <f aca="false">IF('Invoice &amp; Delivery Log'!$A27="","",'Invoice &amp; Delivery Log'!$A27)</f>
        <v>INV-1020</v>
      </c>
      <c r="B27" s="59" t="str">
        <f aca="false">IF('Invoice &amp; Delivery Log'!$A27="","",'Invoice &amp; Delivery Log'!$C27)</f>
        <v>Lakeshore Packaging Group</v>
      </c>
      <c r="C27" s="66" t="n">
        <f aca="false">IF('Invoice &amp; Delivery Log'!$A27="","",'Invoice &amp; Delivery Log'!$H27)</f>
        <v>46125</v>
      </c>
      <c r="D27" s="66" t="n">
        <f aca="false">IF('Invoice &amp; Delivery Log'!$A27="","",'Invoice &amp; Delivery Log'!$M27)</f>
        <v>46155</v>
      </c>
      <c r="E27" s="71" t="str">
        <f aca="false">IF('Invoice &amp; Delivery Log'!$A27="","",IF('Invoice &amp; Delivery Log'!$Y27="Yes",'Invoice &amp; Delivery Log'!$P27,""))</f>
        <v/>
      </c>
      <c r="F27" s="52" t="str">
        <f aca="false">IF(OR($E27="",$D27=""),"",$D27-Settings!$C$5)</f>
        <v/>
      </c>
      <c r="G27" s="53" t="str">
        <f aca="false">IF($A27="","",IF($E27="","Closed",IF($F27="","No Due Date",IF($F27&lt;0,"Overdue",IF($F27&lt;=Settings!$C$11,"Due in 0-7 Days",IF($F27&lt;=2*Settings!$C$11,"Due in 8-14 Days",IF($F27&lt;=Settings!$C$12,"Due in 15-30 Days","Due in 31+ Days")))))))</f>
        <v>Closed</v>
      </c>
      <c r="H27" s="49" t="str">
        <f aca="false">IF('Invoice &amp; Delivery Log'!$Z27="","",'Invoice &amp; Delivery Log'!$Z27)</f>
        <v/>
      </c>
      <c r="I27" s="56"/>
      <c r="J27" s="58"/>
      <c r="K27" s="50" t="str">
        <f aca="false">IF($E27="","",ROUND($E27-N($J27),2))</f>
        <v/>
      </c>
      <c r="L27" s="62" t="str">
        <f aca="false">IF($A27="","",IF($E27="","No action needed",IF(AND(N($J27)&gt;0,$I27=""),"Missing planned date",IF(ROUND(N($J27)-$E27,2)&gt;0,"Planned amount exceeds balance",IF(AND($I27&lt;&gt;"",$I27&lt;Settings!$C$5),"Planned date is in the past",IF(N($J27)&lt;=0,"Not planned yet",IF(ROUND($K27,2)&lt;=0,"Fully planned","Partly planned")))))))</f>
        <v>No action needed</v>
      </c>
    </row>
    <row r="28" customFormat="false" ht="15" hidden="false" customHeight="true" outlineLevel="0" collapsed="false">
      <c r="A28" s="63" t="str">
        <f aca="false">IF('Invoice &amp; Delivery Log'!$A28="","",'Invoice &amp; Delivery Log'!$A28)</f>
        <v>INV-1021</v>
      </c>
      <c r="B28" s="55" t="str">
        <f aca="false">IF('Invoice &amp; Delivery Log'!$A28="","",'Invoice &amp; Delivery Log'!$C28)</f>
        <v>Bluepoint Electrical Supply</v>
      </c>
      <c r="C28" s="64" t="n">
        <f aca="false">IF('Invoice &amp; Delivery Log'!$A28="","",'Invoice &amp; Delivery Log'!$H28)</f>
        <v>46139</v>
      </c>
      <c r="D28" s="64" t="n">
        <f aca="false">IF('Invoice &amp; Delivery Log'!$A28="","",'Invoice &amp; Delivery Log'!$M28)</f>
        <v>46169</v>
      </c>
      <c r="E28" s="70" t="str">
        <f aca="false">IF('Invoice &amp; Delivery Log'!$A28="","",IF('Invoice &amp; Delivery Log'!$Y28="Yes",'Invoice &amp; Delivery Log'!$P28,""))</f>
        <v/>
      </c>
      <c r="F28" s="47" t="str">
        <f aca="false">IF(OR($E28="",$D28=""),"",$D28-Settings!$C$5)</f>
        <v/>
      </c>
      <c r="G28" s="36" t="str">
        <f aca="false">IF($A28="","",IF($E28="","Closed",IF($F28="","No Due Date",IF($F28&lt;0,"Overdue",IF($F28&lt;=Settings!$C$11,"Due in 0-7 Days",IF($F28&lt;=2*Settings!$C$11,"Due in 8-14 Days",IF($F28&lt;=Settings!$C$12,"Due in 15-30 Days","Due in 31+ Days")))))))</f>
        <v>Closed</v>
      </c>
      <c r="H28" s="29" t="str">
        <f aca="false">IF('Invoice &amp; Delivery Log'!$Z28="","",'Invoice &amp; Delivery Log'!$Z28)</f>
        <v/>
      </c>
      <c r="I28" s="56"/>
      <c r="J28" s="58"/>
      <c r="K28" s="30" t="str">
        <f aca="false">IF($E28="","",ROUND($E28-N($J28),2))</f>
        <v/>
      </c>
      <c r="L28" s="28" t="str">
        <f aca="false">IF($A28="","",IF($E28="","No action needed",IF(AND(N($J28)&gt;0,$I28=""),"Missing planned date",IF(ROUND(N($J28)-$E28,2)&gt;0,"Planned amount exceeds balance",IF(AND($I28&lt;&gt;"",$I28&lt;Settings!$C$5),"Planned date is in the past",IF(N($J28)&lt;=0,"Not planned yet",IF(ROUND($K28,2)&lt;=0,"Fully planned","Partly planned")))))))</f>
        <v>No action needed</v>
      </c>
    </row>
    <row r="29" customFormat="false" ht="15" hidden="false" customHeight="true" outlineLevel="0" collapsed="false">
      <c r="A29" s="65" t="str">
        <f aca="false">IF('Invoice &amp; Delivery Log'!$A29="","",'Invoice &amp; Delivery Log'!$A29)</f>
        <v>INV-1022</v>
      </c>
      <c r="B29" s="59" t="str">
        <f aca="false">IF('Invoice &amp; Delivery Log'!$A29="","",'Invoice &amp; Delivery Log'!$C29)</f>
        <v>Copperfield Textiles</v>
      </c>
      <c r="C29" s="66" t="n">
        <f aca="false">IF('Invoice &amp; Delivery Log'!$A29="","",'Invoice &amp; Delivery Log'!$H29)</f>
        <v>46131</v>
      </c>
      <c r="D29" s="66" t="n">
        <f aca="false">IF('Invoice &amp; Delivery Log'!$A29="","",'Invoice &amp; Delivery Log'!$M29)</f>
        <v>46191</v>
      </c>
      <c r="E29" s="71" t="str">
        <f aca="false">IF('Invoice &amp; Delivery Log'!$A29="","",IF('Invoice &amp; Delivery Log'!$Y29="Yes",'Invoice &amp; Delivery Log'!$P29,""))</f>
        <v/>
      </c>
      <c r="F29" s="52" t="str">
        <f aca="false">IF(OR($E29="",$D29=""),"",$D29-Settings!$C$5)</f>
        <v/>
      </c>
      <c r="G29" s="53" t="str">
        <f aca="false">IF($A29="","",IF($E29="","Closed",IF($F29="","No Due Date",IF($F29&lt;0,"Overdue",IF($F29&lt;=Settings!$C$11,"Due in 0-7 Days",IF($F29&lt;=2*Settings!$C$11,"Due in 8-14 Days",IF($F29&lt;=Settings!$C$12,"Due in 15-30 Days","Due in 31+ Days")))))))</f>
        <v>Closed</v>
      </c>
      <c r="H29" s="49" t="str">
        <f aca="false">IF('Invoice &amp; Delivery Log'!$Z29="","",'Invoice &amp; Delivery Log'!$Z29)</f>
        <v/>
      </c>
      <c r="I29" s="56"/>
      <c r="J29" s="58"/>
      <c r="K29" s="50" t="str">
        <f aca="false">IF($E29="","",ROUND($E29-N($J29),2))</f>
        <v/>
      </c>
      <c r="L29" s="62" t="str">
        <f aca="false">IF($A29="","",IF($E29="","No action needed",IF(AND(N($J29)&gt;0,$I29=""),"Missing planned date",IF(ROUND(N($J29)-$E29,2)&gt;0,"Planned amount exceeds balance",IF(AND($I29&lt;&gt;"",$I29&lt;Settings!$C$5),"Planned date is in the past",IF(N($J29)&lt;=0,"Not planned yet",IF(ROUND($K29,2)&lt;=0,"Fully planned","Partly planned")))))))</f>
        <v>No action needed</v>
      </c>
    </row>
    <row r="30" customFormat="false" ht="15" hidden="false" customHeight="true" outlineLevel="0" collapsed="false">
      <c r="A30" s="63" t="str">
        <f aca="false">IF('Invoice &amp; Delivery Log'!$A30="","",'Invoice &amp; Delivery Log'!$A30)</f>
        <v>INV-1023</v>
      </c>
      <c r="B30" s="55" t="str">
        <f aca="false">IF('Invoice &amp; Delivery Log'!$A30="","",'Invoice &amp; Delivery Log'!$C30)</f>
        <v>Lakeshore Packaging Group</v>
      </c>
      <c r="C30" s="64" t="n">
        <f aca="false">IF('Invoice &amp; Delivery Log'!$A30="","",'Invoice &amp; Delivery Log'!$H30)</f>
        <v>46139</v>
      </c>
      <c r="D30" s="64" t="n">
        <f aca="false">IF('Invoice &amp; Delivery Log'!$A30="","",'Invoice &amp; Delivery Log'!$M30)</f>
        <v>46169</v>
      </c>
      <c r="E30" s="70" t="str">
        <f aca="false">IF('Invoice &amp; Delivery Log'!$A30="","",IF('Invoice &amp; Delivery Log'!$Y30="Yes",'Invoice &amp; Delivery Log'!$P30,""))</f>
        <v/>
      </c>
      <c r="F30" s="47" t="str">
        <f aca="false">IF(OR($E30="",$D30=""),"",$D30-Settings!$C$5)</f>
        <v/>
      </c>
      <c r="G30" s="36" t="str">
        <f aca="false">IF($A30="","",IF($E30="","Closed",IF($F30="","No Due Date",IF($F30&lt;0,"Overdue",IF($F30&lt;=Settings!$C$11,"Due in 0-7 Days",IF($F30&lt;=2*Settings!$C$11,"Due in 8-14 Days",IF($F30&lt;=Settings!$C$12,"Due in 15-30 Days","Due in 31+ Days")))))))</f>
        <v>Closed</v>
      </c>
      <c r="H30" s="29" t="str">
        <f aca="false">IF('Invoice &amp; Delivery Log'!$Z30="","",'Invoice &amp; Delivery Log'!$Z30)</f>
        <v/>
      </c>
      <c r="I30" s="56"/>
      <c r="J30" s="58"/>
      <c r="K30" s="30" t="str">
        <f aca="false">IF($E30="","",ROUND($E30-N($J30),2))</f>
        <v/>
      </c>
      <c r="L30" s="28" t="str">
        <f aca="false">IF($A30="","",IF($E30="","No action needed",IF(AND(N($J30)&gt;0,$I30=""),"Missing planned date",IF(ROUND(N($J30)-$E30,2)&gt;0,"Planned amount exceeds balance",IF(AND($I30&lt;&gt;"",$I30&lt;Settings!$C$5),"Planned date is in the past",IF(N($J30)&lt;=0,"Not planned yet",IF(ROUND($K30,2)&lt;=0,"Fully planned","Partly planned")))))))</f>
        <v>No action needed</v>
      </c>
    </row>
    <row r="31" customFormat="false" ht="15" hidden="false" customHeight="true" outlineLevel="0" collapsed="false">
      <c r="A31" s="65" t="str">
        <f aca="false">IF('Invoice &amp; Delivery Log'!$A31="","",'Invoice &amp; Delivery Log'!$A31)</f>
        <v>INV-1024</v>
      </c>
      <c r="B31" s="59" t="str">
        <f aca="false">IF('Invoice &amp; Delivery Log'!$A31="","",'Invoice &amp; Delivery Log'!$C31)</f>
        <v>Ironbridge Hardware Co.</v>
      </c>
      <c r="C31" s="66" t="n">
        <f aca="false">IF('Invoice &amp; Delivery Log'!$A31="","",'Invoice &amp; Delivery Log'!$H31)</f>
        <v>46141</v>
      </c>
      <c r="D31" s="66" t="n">
        <f aca="false">IF('Invoice &amp; Delivery Log'!$A31="","",'Invoice &amp; Delivery Log'!$M31)</f>
        <v>46186</v>
      </c>
      <c r="E31" s="71" t="n">
        <f aca="false">IF('Invoice &amp; Delivery Log'!$A31="","",IF('Invoice &amp; Delivery Log'!$Y31="Yes",'Invoice &amp; Delivery Log'!$P31,""))</f>
        <v>4198.12</v>
      </c>
      <c r="F31" s="52" t="n">
        <f aca="false">IF(OR($E31="",$D31=""),"",$D31-Settings!$C$5)</f>
        <v>-86</v>
      </c>
      <c r="G31" s="53" t="str">
        <f aca="false">IF($A31="","",IF($E31="","Closed",IF($F31="","No Due Date",IF($F31&lt;0,"Overdue",IF($F31&lt;=Settings!$C$11,"Due in 0-7 Days",IF($F31&lt;=2*Settings!$C$11,"Due in 8-14 Days",IF($F31&lt;=Settings!$C$12,"Due in 15-30 Days","Due in 31+ Days")))))))</f>
        <v>Overdue</v>
      </c>
      <c r="H31" s="49" t="n">
        <f aca="false">IF('Invoice &amp; Delivery Log'!$Z31="","",'Invoice &amp; Delivery Log'!$Z31)</f>
        <v>5</v>
      </c>
      <c r="I31" s="56" t="n">
        <v>46277</v>
      </c>
      <c r="J31" s="58" t="n">
        <v>2099.06</v>
      </c>
      <c r="K31" s="50" t="n">
        <f aca="false">IF($E31="","",ROUND($E31-N($J31),2))</f>
        <v>2099.06</v>
      </c>
      <c r="L31" s="62" t="str">
        <f aca="false">IF($A31="","",IF($E31="","No action needed",IF(AND(N($J31)&gt;0,$I31=""),"Missing planned date",IF(ROUND(N($J31)-$E31,2)&gt;0,"Planned amount exceeds balance",IF(AND($I31&lt;&gt;"",$I31&lt;Settings!$C$5),"Planned date is in the past",IF(N($J31)&lt;=0,"Not planned yet",IF(ROUND($K31,2)&lt;=0,"Fully planned","Partly planned")))))))</f>
        <v>Partly planned</v>
      </c>
    </row>
    <row r="32" customFormat="false" ht="15" hidden="false" customHeight="true" outlineLevel="0" collapsed="false">
      <c r="A32" s="63" t="str">
        <f aca="false">IF('Invoice &amp; Delivery Log'!$A32="","",'Invoice &amp; Delivery Log'!$A32)</f>
        <v>INV-1025</v>
      </c>
      <c r="B32" s="55" t="str">
        <f aca="false">IF('Invoice &amp; Delivery Log'!$A32="","",'Invoice &amp; Delivery Log'!$C32)</f>
        <v>Willowbrook Beverage Co.</v>
      </c>
      <c r="C32" s="64" t="n">
        <f aca="false">IF('Invoice &amp; Delivery Log'!$A32="","",'Invoice &amp; Delivery Log'!$H32)</f>
        <v>46143</v>
      </c>
      <c r="D32" s="64" t="n">
        <f aca="false">IF('Invoice &amp; Delivery Log'!$A32="","",'Invoice &amp; Delivery Log'!$M32)</f>
        <v>46158</v>
      </c>
      <c r="E32" s="70" t="str">
        <f aca="false">IF('Invoice &amp; Delivery Log'!$A32="","",IF('Invoice &amp; Delivery Log'!$Y32="Yes",'Invoice &amp; Delivery Log'!$P32,""))</f>
        <v/>
      </c>
      <c r="F32" s="47" t="str">
        <f aca="false">IF(OR($E32="",$D32=""),"",$D32-Settings!$C$5)</f>
        <v/>
      </c>
      <c r="G32" s="36" t="str">
        <f aca="false">IF($A32="","",IF($E32="","Closed",IF($F32="","No Due Date",IF($F32&lt;0,"Overdue",IF($F32&lt;=Settings!$C$11,"Due in 0-7 Days",IF($F32&lt;=2*Settings!$C$11,"Due in 8-14 Days",IF($F32&lt;=Settings!$C$12,"Due in 15-30 Days","Due in 31+ Days")))))))</f>
        <v>Closed</v>
      </c>
      <c r="H32" s="29" t="str">
        <f aca="false">IF('Invoice &amp; Delivery Log'!$Z32="","",'Invoice &amp; Delivery Log'!$Z32)</f>
        <v/>
      </c>
      <c r="I32" s="56"/>
      <c r="J32" s="58"/>
      <c r="K32" s="30" t="str">
        <f aca="false">IF($E32="","",ROUND($E32-N($J32),2))</f>
        <v/>
      </c>
      <c r="L32" s="28" t="str">
        <f aca="false">IF($A32="","",IF($E32="","No action needed",IF(AND(N($J32)&gt;0,$I32=""),"Missing planned date",IF(ROUND(N($J32)-$E32,2)&gt;0,"Planned amount exceeds balance",IF(AND($I32&lt;&gt;"",$I32&lt;Settings!$C$5),"Planned date is in the past",IF(N($J32)&lt;=0,"Not planned yet",IF(ROUND($K32,2)&lt;=0,"Fully planned","Partly planned")))))))</f>
        <v>No action needed</v>
      </c>
    </row>
    <row r="33" customFormat="false" ht="15" hidden="false" customHeight="true" outlineLevel="0" collapsed="false">
      <c r="A33" s="65" t="str">
        <f aca="false">IF('Invoice &amp; Delivery Log'!$A33="","",'Invoice &amp; Delivery Log'!$A33)</f>
        <v>INV-1026</v>
      </c>
      <c r="B33" s="59" t="str">
        <f aca="false">IF('Invoice &amp; Delivery Log'!$A33="","",'Invoice &amp; Delivery Log'!$C33)</f>
        <v>Willowbrook Beverage Co.</v>
      </c>
      <c r="C33" s="66" t="n">
        <f aca="false">IF('Invoice &amp; Delivery Log'!$A33="","",'Invoice &amp; Delivery Log'!$H33)</f>
        <v>46146</v>
      </c>
      <c r="D33" s="66" t="n">
        <f aca="false">IF('Invoice &amp; Delivery Log'!$A33="","",'Invoice &amp; Delivery Log'!$M33)</f>
        <v>46161</v>
      </c>
      <c r="E33" s="71" t="str">
        <f aca="false">IF('Invoice &amp; Delivery Log'!$A33="","",IF('Invoice &amp; Delivery Log'!$Y33="Yes",'Invoice &amp; Delivery Log'!$P33,""))</f>
        <v/>
      </c>
      <c r="F33" s="52" t="str">
        <f aca="false">IF(OR($E33="",$D33=""),"",$D33-Settings!$C$5)</f>
        <v/>
      </c>
      <c r="G33" s="53" t="str">
        <f aca="false">IF($A33="","",IF($E33="","Closed",IF($F33="","No Due Date",IF($F33&lt;0,"Overdue",IF($F33&lt;=Settings!$C$11,"Due in 0-7 Days",IF($F33&lt;=2*Settings!$C$11,"Due in 8-14 Days",IF($F33&lt;=Settings!$C$12,"Due in 15-30 Days","Due in 31+ Days")))))))</f>
        <v>Closed</v>
      </c>
      <c r="H33" s="49" t="str">
        <f aca="false">IF('Invoice &amp; Delivery Log'!$Z33="","",'Invoice &amp; Delivery Log'!$Z33)</f>
        <v/>
      </c>
      <c r="I33" s="56"/>
      <c r="J33" s="58"/>
      <c r="K33" s="50" t="str">
        <f aca="false">IF($E33="","",ROUND($E33-N($J33),2))</f>
        <v/>
      </c>
      <c r="L33" s="62" t="str">
        <f aca="false">IF($A33="","",IF($E33="","No action needed",IF(AND(N($J33)&gt;0,$I33=""),"Missing planned date",IF(ROUND(N($J33)-$E33,2)&gt;0,"Planned amount exceeds balance",IF(AND($I33&lt;&gt;"",$I33&lt;Settings!$C$5),"Planned date is in the past",IF(N($J33)&lt;=0,"Not planned yet",IF(ROUND($K33,2)&lt;=0,"Fully planned","Partly planned")))))))</f>
        <v>No action needed</v>
      </c>
    </row>
    <row r="34" customFormat="false" ht="15" hidden="false" customHeight="true" outlineLevel="0" collapsed="false">
      <c r="A34" s="63" t="str">
        <f aca="false">IF('Invoice &amp; Delivery Log'!$A34="","",'Invoice &amp; Delivery Log'!$A34)</f>
        <v>INV-1027</v>
      </c>
      <c r="B34" s="55" t="str">
        <f aca="false">IF('Invoice &amp; Delivery Log'!$A34="","",'Invoice &amp; Delivery Log'!$C34)</f>
        <v>Copperfield Textiles</v>
      </c>
      <c r="C34" s="64" t="n">
        <f aca="false">IF('Invoice &amp; Delivery Log'!$A34="","",'Invoice &amp; Delivery Log'!$H34)</f>
        <v>46146</v>
      </c>
      <c r="D34" s="64" t="n">
        <f aca="false">IF('Invoice &amp; Delivery Log'!$A34="","",'Invoice &amp; Delivery Log'!$M34)</f>
        <v>46206</v>
      </c>
      <c r="E34" s="70" t="str">
        <f aca="false">IF('Invoice &amp; Delivery Log'!$A34="","",IF('Invoice &amp; Delivery Log'!$Y34="Yes",'Invoice &amp; Delivery Log'!$P34,""))</f>
        <v/>
      </c>
      <c r="F34" s="47" t="str">
        <f aca="false">IF(OR($E34="",$D34=""),"",$D34-Settings!$C$5)</f>
        <v/>
      </c>
      <c r="G34" s="36" t="str">
        <f aca="false">IF($A34="","",IF($E34="","Closed",IF($F34="","No Due Date",IF($F34&lt;0,"Overdue",IF($F34&lt;=Settings!$C$11,"Due in 0-7 Days",IF($F34&lt;=2*Settings!$C$11,"Due in 8-14 Days",IF($F34&lt;=Settings!$C$12,"Due in 15-30 Days","Due in 31+ Days")))))))</f>
        <v>Closed</v>
      </c>
      <c r="H34" s="29" t="str">
        <f aca="false">IF('Invoice &amp; Delivery Log'!$Z34="","",'Invoice &amp; Delivery Log'!$Z34)</f>
        <v/>
      </c>
      <c r="I34" s="56"/>
      <c r="J34" s="58"/>
      <c r="K34" s="30" t="str">
        <f aca="false">IF($E34="","",ROUND($E34-N($J34),2))</f>
        <v/>
      </c>
      <c r="L34" s="28" t="str">
        <f aca="false">IF($A34="","",IF($E34="","No action needed",IF(AND(N($J34)&gt;0,$I34=""),"Missing planned date",IF(ROUND(N($J34)-$E34,2)&gt;0,"Planned amount exceeds balance",IF(AND($I34&lt;&gt;"",$I34&lt;Settings!$C$5),"Planned date is in the past",IF(N($J34)&lt;=0,"Not planned yet",IF(ROUND($K34,2)&lt;=0,"Fully planned","Partly planned")))))))</f>
        <v>No action needed</v>
      </c>
    </row>
    <row r="35" customFormat="false" ht="15" hidden="false" customHeight="true" outlineLevel="0" collapsed="false">
      <c r="A35" s="65" t="str">
        <f aca="false">IF('Invoice &amp; Delivery Log'!$A35="","",'Invoice &amp; Delivery Log'!$A35)</f>
        <v>INV-1028</v>
      </c>
      <c r="B35" s="59" t="str">
        <f aca="false">IF('Invoice &amp; Delivery Log'!$A35="","",'Invoice &amp; Delivery Log'!$C35)</f>
        <v>Prairie Print &amp; Signage</v>
      </c>
      <c r="C35" s="66" t="n">
        <f aca="false">IF('Invoice &amp; Delivery Log'!$A35="","",'Invoice &amp; Delivery Log'!$H35)</f>
        <v>46150</v>
      </c>
      <c r="D35" s="66" t="n">
        <f aca="false">IF('Invoice &amp; Delivery Log'!$A35="","",'Invoice &amp; Delivery Log'!$M35)</f>
        <v>46171</v>
      </c>
      <c r="E35" s="71" t="str">
        <f aca="false">IF('Invoice &amp; Delivery Log'!$A35="","",IF('Invoice &amp; Delivery Log'!$Y35="Yes",'Invoice &amp; Delivery Log'!$P35,""))</f>
        <v/>
      </c>
      <c r="F35" s="52" t="str">
        <f aca="false">IF(OR($E35="",$D35=""),"",$D35-Settings!$C$5)</f>
        <v/>
      </c>
      <c r="G35" s="53" t="str">
        <f aca="false">IF($A35="","",IF($E35="","Closed",IF($F35="","No Due Date",IF($F35&lt;0,"Overdue",IF($F35&lt;=Settings!$C$11,"Due in 0-7 Days",IF($F35&lt;=2*Settings!$C$11,"Due in 8-14 Days",IF($F35&lt;=Settings!$C$12,"Due in 15-30 Days","Due in 31+ Days")))))))</f>
        <v>Closed</v>
      </c>
      <c r="H35" s="49" t="str">
        <f aca="false">IF('Invoice &amp; Delivery Log'!$Z35="","",'Invoice &amp; Delivery Log'!$Z35)</f>
        <v/>
      </c>
      <c r="I35" s="56"/>
      <c r="J35" s="58"/>
      <c r="K35" s="50" t="str">
        <f aca="false">IF($E35="","",ROUND($E35-N($J35),2))</f>
        <v/>
      </c>
      <c r="L35" s="62" t="str">
        <f aca="false">IF($A35="","",IF($E35="","No action needed",IF(AND(N($J35)&gt;0,$I35=""),"Missing planned date",IF(ROUND(N($J35)-$E35,2)&gt;0,"Planned amount exceeds balance",IF(AND($I35&lt;&gt;"",$I35&lt;Settings!$C$5),"Planned date is in the past",IF(N($J35)&lt;=0,"Not planned yet",IF(ROUND($K35,2)&lt;=0,"Fully planned","Partly planned")))))))</f>
        <v>No action needed</v>
      </c>
    </row>
    <row r="36" customFormat="false" ht="15" hidden="false" customHeight="true" outlineLevel="0" collapsed="false">
      <c r="A36" s="63" t="str">
        <f aca="false">IF('Invoice &amp; Delivery Log'!$A36="","",'Invoice &amp; Delivery Log'!$A36)</f>
        <v>INV-1029</v>
      </c>
      <c r="B36" s="55" t="str">
        <f aca="false">IF('Invoice &amp; Delivery Log'!$A36="","",'Invoice &amp; Delivery Log'!$C36)</f>
        <v>Copperfield Textiles</v>
      </c>
      <c r="C36" s="64" t="n">
        <f aca="false">IF('Invoice &amp; Delivery Log'!$A36="","",'Invoice &amp; Delivery Log'!$H36)</f>
        <v>46152</v>
      </c>
      <c r="D36" s="64" t="n">
        <f aca="false">IF('Invoice &amp; Delivery Log'!$A36="","",'Invoice &amp; Delivery Log'!$M36)</f>
        <v>46212</v>
      </c>
      <c r="E36" s="70" t="str">
        <f aca="false">IF('Invoice &amp; Delivery Log'!$A36="","",IF('Invoice &amp; Delivery Log'!$Y36="Yes",'Invoice &amp; Delivery Log'!$P36,""))</f>
        <v/>
      </c>
      <c r="F36" s="47" t="str">
        <f aca="false">IF(OR($E36="",$D36=""),"",$D36-Settings!$C$5)</f>
        <v/>
      </c>
      <c r="G36" s="36" t="str">
        <f aca="false">IF($A36="","",IF($E36="","Closed",IF($F36="","No Due Date",IF($F36&lt;0,"Overdue",IF($F36&lt;=Settings!$C$11,"Due in 0-7 Days",IF($F36&lt;=2*Settings!$C$11,"Due in 8-14 Days",IF($F36&lt;=Settings!$C$12,"Due in 15-30 Days","Due in 31+ Days")))))))</f>
        <v>Closed</v>
      </c>
      <c r="H36" s="29" t="str">
        <f aca="false">IF('Invoice &amp; Delivery Log'!$Z36="","",'Invoice &amp; Delivery Log'!$Z36)</f>
        <v/>
      </c>
      <c r="I36" s="56"/>
      <c r="J36" s="58"/>
      <c r="K36" s="30" t="str">
        <f aca="false">IF($E36="","",ROUND($E36-N($J36),2))</f>
        <v/>
      </c>
      <c r="L36" s="28" t="str">
        <f aca="false">IF($A36="","",IF($E36="","No action needed",IF(AND(N($J36)&gt;0,$I36=""),"Missing planned date",IF(ROUND(N($J36)-$E36,2)&gt;0,"Planned amount exceeds balance",IF(AND($I36&lt;&gt;"",$I36&lt;Settings!$C$5),"Planned date is in the past",IF(N($J36)&lt;=0,"Not planned yet",IF(ROUND($K36,2)&lt;=0,"Fully planned","Partly planned")))))))</f>
        <v>No action needed</v>
      </c>
    </row>
    <row r="37" customFormat="false" ht="15" hidden="false" customHeight="true" outlineLevel="0" collapsed="false">
      <c r="A37" s="65" t="str">
        <f aca="false">IF('Invoice &amp; Delivery Log'!$A37="","",'Invoice &amp; Delivery Log'!$A37)</f>
        <v>INV-1030</v>
      </c>
      <c r="B37" s="59" t="str">
        <f aca="false">IF('Invoice &amp; Delivery Log'!$A37="","",'Invoice &amp; Delivery Log'!$C37)</f>
        <v>Vertex IT Solutions</v>
      </c>
      <c r="C37" s="66" t="n">
        <f aca="false">IF('Invoice &amp; Delivery Log'!$A37="","",'Invoice &amp; Delivery Log'!$H37)</f>
        <v>46153</v>
      </c>
      <c r="D37" s="66" t="n">
        <f aca="false">IF('Invoice &amp; Delivery Log'!$A37="","",'Invoice &amp; Delivery Log'!$M37)</f>
        <v>46183</v>
      </c>
      <c r="E37" s="71" t="str">
        <f aca="false">IF('Invoice &amp; Delivery Log'!$A37="","",IF('Invoice &amp; Delivery Log'!$Y37="Yes",'Invoice &amp; Delivery Log'!$P37,""))</f>
        <v/>
      </c>
      <c r="F37" s="52" t="str">
        <f aca="false">IF(OR($E37="",$D37=""),"",$D37-Settings!$C$5)</f>
        <v/>
      </c>
      <c r="G37" s="53" t="str">
        <f aca="false">IF($A37="","",IF($E37="","Closed",IF($F37="","No Due Date",IF($F37&lt;0,"Overdue",IF($F37&lt;=Settings!$C$11,"Due in 0-7 Days",IF($F37&lt;=2*Settings!$C$11,"Due in 8-14 Days",IF($F37&lt;=Settings!$C$12,"Due in 15-30 Days","Due in 31+ Days")))))))</f>
        <v>Closed</v>
      </c>
      <c r="H37" s="49" t="str">
        <f aca="false">IF('Invoice &amp; Delivery Log'!$Z37="","",'Invoice &amp; Delivery Log'!$Z37)</f>
        <v/>
      </c>
      <c r="I37" s="56"/>
      <c r="J37" s="58"/>
      <c r="K37" s="50" t="str">
        <f aca="false">IF($E37="","",ROUND($E37-N($J37),2))</f>
        <v/>
      </c>
      <c r="L37" s="62" t="str">
        <f aca="false">IF($A37="","",IF($E37="","No action needed",IF(AND(N($J37)&gt;0,$I37=""),"Missing planned date",IF(ROUND(N($J37)-$E37,2)&gt;0,"Planned amount exceeds balance",IF(AND($I37&lt;&gt;"",$I37&lt;Settings!$C$5),"Planned date is in the past",IF(N($J37)&lt;=0,"Not planned yet",IF(ROUND($K37,2)&lt;=0,"Fully planned","Partly planned")))))))</f>
        <v>No action needed</v>
      </c>
    </row>
    <row r="38" customFormat="false" ht="15" hidden="false" customHeight="true" outlineLevel="0" collapsed="false">
      <c r="A38" s="63" t="str">
        <f aca="false">IF('Invoice &amp; Delivery Log'!$A38="","",'Invoice &amp; Delivery Log'!$A38)</f>
        <v>INV-1031</v>
      </c>
      <c r="B38" s="55" t="str">
        <f aca="false">IF('Invoice &amp; Delivery Log'!$A38="","",'Invoice &amp; Delivery Log'!$C38)</f>
        <v>Lakeshore Packaging Group</v>
      </c>
      <c r="C38" s="64" t="n">
        <f aca="false">IF('Invoice &amp; Delivery Log'!$A38="","",'Invoice &amp; Delivery Log'!$H38)</f>
        <v>46172</v>
      </c>
      <c r="D38" s="64" t="n">
        <f aca="false">IF('Invoice &amp; Delivery Log'!$A38="","",'Invoice &amp; Delivery Log'!$M38)</f>
        <v>46202</v>
      </c>
      <c r="E38" s="70" t="str">
        <f aca="false">IF('Invoice &amp; Delivery Log'!$A38="","",IF('Invoice &amp; Delivery Log'!$Y38="Yes",'Invoice &amp; Delivery Log'!$P38,""))</f>
        <v/>
      </c>
      <c r="F38" s="47" t="str">
        <f aca="false">IF(OR($E38="",$D38=""),"",$D38-Settings!$C$5)</f>
        <v/>
      </c>
      <c r="G38" s="36" t="str">
        <f aca="false">IF($A38="","",IF($E38="","Closed",IF($F38="","No Due Date",IF($F38&lt;0,"Overdue",IF($F38&lt;=Settings!$C$11,"Due in 0-7 Days",IF($F38&lt;=2*Settings!$C$11,"Due in 8-14 Days",IF($F38&lt;=Settings!$C$12,"Due in 15-30 Days","Due in 31+ Days")))))))</f>
        <v>Closed</v>
      </c>
      <c r="H38" s="29" t="str">
        <f aca="false">IF('Invoice &amp; Delivery Log'!$Z38="","",'Invoice &amp; Delivery Log'!$Z38)</f>
        <v/>
      </c>
      <c r="I38" s="56"/>
      <c r="J38" s="58"/>
      <c r="K38" s="30" t="str">
        <f aca="false">IF($E38="","",ROUND($E38-N($J38),2))</f>
        <v/>
      </c>
      <c r="L38" s="28" t="str">
        <f aca="false">IF($A38="","",IF($E38="","No action needed",IF(AND(N($J38)&gt;0,$I38=""),"Missing planned date",IF(ROUND(N($J38)-$E38,2)&gt;0,"Planned amount exceeds balance",IF(AND($I38&lt;&gt;"",$I38&lt;Settings!$C$5),"Planned date is in the past",IF(N($J38)&lt;=0,"Not planned yet",IF(ROUND($K38,2)&lt;=0,"Fully planned","Partly planned")))))))</f>
        <v>No action needed</v>
      </c>
    </row>
    <row r="39" customFormat="false" ht="15" hidden="false" customHeight="true" outlineLevel="0" collapsed="false">
      <c r="A39" s="65" t="str">
        <f aca="false">IF('Invoice &amp; Delivery Log'!$A39="","",'Invoice &amp; Delivery Log'!$A39)</f>
        <v>INV-1032</v>
      </c>
      <c r="B39" s="59" t="str">
        <f aca="false">IF('Invoice &amp; Delivery Log'!$A39="","",'Invoice &amp; Delivery Log'!$C39)</f>
        <v>Vertex IT Solutions</v>
      </c>
      <c r="C39" s="66" t="n">
        <f aca="false">IF('Invoice &amp; Delivery Log'!$A39="","",'Invoice &amp; Delivery Log'!$H39)</f>
        <v>46174</v>
      </c>
      <c r="D39" s="66" t="n">
        <f aca="false">IF('Invoice &amp; Delivery Log'!$A39="","",'Invoice &amp; Delivery Log'!$M39)</f>
        <v>46204</v>
      </c>
      <c r="E39" s="71" t="str">
        <f aca="false">IF('Invoice &amp; Delivery Log'!$A39="","",IF('Invoice &amp; Delivery Log'!$Y39="Yes",'Invoice &amp; Delivery Log'!$P39,""))</f>
        <v/>
      </c>
      <c r="F39" s="52" t="str">
        <f aca="false">IF(OR($E39="",$D39=""),"",$D39-Settings!$C$5)</f>
        <v/>
      </c>
      <c r="G39" s="53" t="str">
        <f aca="false">IF($A39="","",IF($E39="","Closed",IF($F39="","No Due Date",IF($F39&lt;0,"Overdue",IF($F39&lt;=Settings!$C$11,"Due in 0-7 Days",IF($F39&lt;=2*Settings!$C$11,"Due in 8-14 Days",IF($F39&lt;=Settings!$C$12,"Due in 15-30 Days","Due in 31+ Days")))))))</f>
        <v>Closed</v>
      </c>
      <c r="H39" s="49" t="str">
        <f aca="false">IF('Invoice &amp; Delivery Log'!$Z39="","",'Invoice &amp; Delivery Log'!$Z39)</f>
        <v/>
      </c>
      <c r="I39" s="56"/>
      <c r="J39" s="58"/>
      <c r="K39" s="50" t="str">
        <f aca="false">IF($E39="","",ROUND($E39-N($J39),2))</f>
        <v/>
      </c>
      <c r="L39" s="62" t="str">
        <f aca="false">IF($A39="","",IF($E39="","No action needed",IF(AND(N($J39)&gt;0,$I39=""),"Missing planned date",IF(ROUND(N($J39)-$E39,2)&gt;0,"Planned amount exceeds balance",IF(AND($I39&lt;&gt;"",$I39&lt;Settings!$C$5),"Planned date is in the past",IF(N($J39)&lt;=0,"Not planned yet",IF(ROUND($K39,2)&lt;=0,"Fully planned","Partly planned")))))))</f>
        <v>No action needed</v>
      </c>
    </row>
    <row r="40" customFormat="false" ht="15" hidden="false" customHeight="true" outlineLevel="0" collapsed="false">
      <c r="A40" s="63" t="str">
        <f aca="false">IF('Invoice &amp; Delivery Log'!$A40="","",'Invoice &amp; Delivery Log'!$A40)</f>
        <v>INV-1033</v>
      </c>
      <c r="B40" s="55" t="str">
        <f aca="false">IF('Invoice &amp; Delivery Log'!$A40="","",'Invoice &amp; Delivery Log'!$C40)</f>
        <v>Summit Cleaning Services</v>
      </c>
      <c r="C40" s="64" t="n">
        <f aca="false">IF('Invoice &amp; Delivery Log'!$A40="","",'Invoice &amp; Delivery Log'!$H40)</f>
        <v>46172</v>
      </c>
      <c r="D40" s="64" t="n">
        <f aca="false">IF('Invoice &amp; Delivery Log'!$A40="","",'Invoice &amp; Delivery Log'!$M40)</f>
        <v>46186</v>
      </c>
      <c r="E40" s="70" t="str">
        <f aca="false">IF('Invoice &amp; Delivery Log'!$A40="","",IF('Invoice &amp; Delivery Log'!$Y40="Yes",'Invoice &amp; Delivery Log'!$P40,""))</f>
        <v/>
      </c>
      <c r="F40" s="47" t="str">
        <f aca="false">IF(OR($E40="",$D40=""),"",$D40-Settings!$C$5)</f>
        <v/>
      </c>
      <c r="G40" s="36" t="str">
        <f aca="false">IF($A40="","",IF($E40="","Closed",IF($F40="","No Due Date",IF($F40&lt;0,"Overdue",IF($F40&lt;=Settings!$C$11,"Due in 0-7 Days",IF($F40&lt;=2*Settings!$C$11,"Due in 8-14 Days",IF($F40&lt;=Settings!$C$12,"Due in 15-30 Days","Due in 31+ Days")))))))</f>
        <v>Closed</v>
      </c>
      <c r="H40" s="29" t="str">
        <f aca="false">IF('Invoice &amp; Delivery Log'!$Z40="","",'Invoice &amp; Delivery Log'!$Z40)</f>
        <v/>
      </c>
      <c r="I40" s="56"/>
      <c r="J40" s="58"/>
      <c r="K40" s="30" t="str">
        <f aca="false">IF($E40="","",ROUND($E40-N($J40),2))</f>
        <v/>
      </c>
      <c r="L40" s="28" t="str">
        <f aca="false">IF($A40="","",IF($E40="","No action needed",IF(AND(N($J40)&gt;0,$I40=""),"Missing planned date",IF(ROUND(N($J40)-$E40,2)&gt;0,"Planned amount exceeds balance",IF(AND($I40&lt;&gt;"",$I40&lt;Settings!$C$5),"Planned date is in the past",IF(N($J40)&lt;=0,"Not planned yet",IF(ROUND($K40,2)&lt;=0,"Fully planned","Partly planned")))))))</f>
        <v>No action needed</v>
      </c>
    </row>
    <row r="41" customFormat="false" ht="15" hidden="false" customHeight="true" outlineLevel="0" collapsed="false">
      <c r="A41" s="65" t="str">
        <f aca="false">IF('Invoice &amp; Delivery Log'!$A41="","",'Invoice &amp; Delivery Log'!$A41)</f>
        <v>INV-1034</v>
      </c>
      <c r="B41" s="59" t="str">
        <f aca="false">IF('Invoice &amp; Delivery Log'!$A41="","",'Invoice &amp; Delivery Log'!$C41)</f>
        <v>Cascade Foods Distribution</v>
      </c>
      <c r="C41" s="66" t="n">
        <f aca="false">IF('Invoice &amp; Delivery Log'!$A41="","",'Invoice &amp; Delivery Log'!$H41)</f>
        <v>46178</v>
      </c>
      <c r="D41" s="66" t="n">
        <f aca="false">IF('Invoice &amp; Delivery Log'!$A41="","",'Invoice &amp; Delivery Log'!$M41)</f>
        <v>46193</v>
      </c>
      <c r="E41" s="71" t="n">
        <f aca="false">IF('Invoice &amp; Delivery Log'!$A41="","",IF('Invoice &amp; Delivery Log'!$Y41="Yes",'Invoice &amp; Delivery Log'!$P41,""))</f>
        <v>641.28</v>
      </c>
      <c r="F41" s="52" t="n">
        <f aca="false">IF(OR($E41="",$D41=""),"",$D41-Settings!$C$5)</f>
        <v>-79</v>
      </c>
      <c r="G41" s="53" t="str">
        <f aca="false">IF($A41="","",IF($E41="","Closed",IF($F41="","No Due Date",IF($F41&lt;0,"Overdue",IF($F41&lt;=Settings!$C$11,"Due in 0-7 Days",IF($F41&lt;=2*Settings!$C$11,"Due in 8-14 Days",IF($F41&lt;=Settings!$C$12,"Due in 15-30 Days","Due in 31+ Days")))))))</f>
        <v>Overdue</v>
      </c>
      <c r="H41" s="49" t="n">
        <f aca="false">IF('Invoice &amp; Delivery Log'!$Z41="","",'Invoice &amp; Delivery Log'!$Z41)</f>
        <v>6</v>
      </c>
      <c r="I41" s="56" t="n">
        <v>46273</v>
      </c>
      <c r="J41" s="58" t="n">
        <v>641.28</v>
      </c>
      <c r="K41" s="50" t="n">
        <f aca="false">IF($E41="","",ROUND($E41-N($J41),2))</f>
        <v>0</v>
      </c>
      <c r="L41" s="62" t="str">
        <f aca="false">IF($A41="","",IF($E41="","No action needed",IF(AND(N($J41)&gt;0,$I41=""),"Missing planned date",IF(ROUND(N($J41)-$E41,2)&gt;0,"Planned amount exceeds balance",IF(AND($I41&lt;&gt;"",$I41&lt;Settings!$C$5),"Planned date is in the past",IF(N($J41)&lt;=0,"Not planned yet",IF(ROUND($K41,2)&lt;=0,"Fully planned","Partly planned")))))))</f>
        <v>Fully planned</v>
      </c>
    </row>
    <row r="42" customFormat="false" ht="15" hidden="false" customHeight="true" outlineLevel="0" collapsed="false">
      <c r="A42" s="63" t="str">
        <f aca="false">IF('Invoice &amp; Delivery Log'!$A42="","",'Invoice &amp; Delivery Log'!$A42)</f>
        <v>INV-1035</v>
      </c>
      <c r="B42" s="55" t="str">
        <f aca="false">IF('Invoice &amp; Delivery Log'!$A42="","",'Invoice &amp; Delivery Log'!$C42)</f>
        <v>Lakeshore Packaging Group</v>
      </c>
      <c r="C42" s="64" t="n">
        <f aca="false">IF('Invoice &amp; Delivery Log'!$A42="","",'Invoice &amp; Delivery Log'!$H42)</f>
        <v>46178</v>
      </c>
      <c r="D42" s="64" t="n">
        <f aca="false">IF('Invoice &amp; Delivery Log'!$A42="","",'Invoice &amp; Delivery Log'!$M42)</f>
        <v>46208</v>
      </c>
      <c r="E42" s="70" t="str">
        <f aca="false">IF('Invoice &amp; Delivery Log'!$A42="","",IF('Invoice &amp; Delivery Log'!$Y42="Yes",'Invoice &amp; Delivery Log'!$P42,""))</f>
        <v/>
      </c>
      <c r="F42" s="47" t="str">
        <f aca="false">IF(OR($E42="",$D42=""),"",$D42-Settings!$C$5)</f>
        <v/>
      </c>
      <c r="G42" s="36" t="str">
        <f aca="false">IF($A42="","",IF($E42="","Closed",IF($F42="","No Due Date",IF($F42&lt;0,"Overdue",IF($F42&lt;=Settings!$C$11,"Due in 0-7 Days",IF($F42&lt;=2*Settings!$C$11,"Due in 8-14 Days",IF($F42&lt;=Settings!$C$12,"Due in 15-30 Days","Due in 31+ Days")))))))</f>
        <v>Closed</v>
      </c>
      <c r="H42" s="29" t="str">
        <f aca="false">IF('Invoice &amp; Delivery Log'!$Z42="","",'Invoice &amp; Delivery Log'!$Z42)</f>
        <v/>
      </c>
      <c r="I42" s="56"/>
      <c r="J42" s="58"/>
      <c r="K42" s="30" t="str">
        <f aca="false">IF($E42="","",ROUND($E42-N($J42),2))</f>
        <v/>
      </c>
      <c r="L42" s="28" t="str">
        <f aca="false">IF($A42="","",IF($E42="","No action needed",IF(AND(N($J42)&gt;0,$I42=""),"Missing planned date",IF(ROUND(N($J42)-$E42,2)&gt;0,"Planned amount exceeds balance",IF(AND($I42&lt;&gt;"",$I42&lt;Settings!$C$5),"Planned date is in the past",IF(N($J42)&lt;=0,"Not planned yet",IF(ROUND($K42,2)&lt;=0,"Fully planned","Partly planned")))))))</f>
        <v>No action needed</v>
      </c>
    </row>
    <row r="43" customFormat="false" ht="15" hidden="false" customHeight="true" outlineLevel="0" collapsed="false">
      <c r="A43" s="65" t="str">
        <f aca="false">IF('Invoice &amp; Delivery Log'!$A43="","",'Invoice &amp; Delivery Log'!$A43)</f>
        <v>INV-1036</v>
      </c>
      <c r="B43" s="59" t="str">
        <f aca="false">IF('Invoice &amp; Delivery Log'!$A43="","",'Invoice &amp; Delivery Log'!$C43)</f>
        <v>Bluepoint Electrical Supply</v>
      </c>
      <c r="C43" s="66" t="n">
        <f aca="false">IF('Invoice &amp; Delivery Log'!$A43="","",'Invoice &amp; Delivery Log'!$H43)</f>
        <v>46178</v>
      </c>
      <c r="D43" s="66" t="n">
        <f aca="false">IF('Invoice &amp; Delivery Log'!$A43="","",'Invoice &amp; Delivery Log'!$M43)</f>
        <v>46208</v>
      </c>
      <c r="E43" s="71" t="str">
        <f aca="false">IF('Invoice &amp; Delivery Log'!$A43="","",IF('Invoice &amp; Delivery Log'!$Y43="Yes",'Invoice &amp; Delivery Log'!$P43,""))</f>
        <v/>
      </c>
      <c r="F43" s="52" t="str">
        <f aca="false">IF(OR($E43="",$D43=""),"",$D43-Settings!$C$5)</f>
        <v/>
      </c>
      <c r="G43" s="53" t="str">
        <f aca="false">IF($A43="","",IF($E43="","Closed",IF($F43="","No Due Date",IF($F43&lt;0,"Overdue",IF($F43&lt;=Settings!$C$11,"Due in 0-7 Days",IF($F43&lt;=2*Settings!$C$11,"Due in 8-14 Days",IF($F43&lt;=Settings!$C$12,"Due in 15-30 Days","Due in 31+ Days")))))))</f>
        <v>Closed</v>
      </c>
      <c r="H43" s="49" t="str">
        <f aca="false">IF('Invoice &amp; Delivery Log'!$Z43="","",'Invoice &amp; Delivery Log'!$Z43)</f>
        <v/>
      </c>
      <c r="I43" s="56"/>
      <c r="J43" s="58"/>
      <c r="K43" s="50" t="str">
        <f aca="false">IF($E43="","",ROUND($E43-N($J43),2))</f>
        <v/>
      </c>
      <c r="L43" s="62" t="str">
        <f aca="false">IF($A43="","",IF($E43="","No action needed",IF(AND(N($J43)&gt;0,$I43=""),"Missing planned date",IF(ROUND(N($J43)-$E43,2)&gt;0,"Planned amount exceeds balance",IF(AND($I43&lt;&gt;"",$I43&lt;Settings!$C$5),"Planned date is in the past",IF(N($J43)&lt;=0,"Not planned yet",IF(ROUND($K43,2)&lt;=0,"Fully planned","Partly planned")))))))</f>
        <v>No action needed</v>
      </c>
    </row>
    <row r="44" customFormat="false" ht="15" hidden="false" customHeight="true" outlineLevel="0" collapsed="false">
      <c r="A44" s="63" t="str">
        <f aca="false">IF('Invoice &amp; Delivery Log'!$A44="","",'Invoice &amp; Delivery Log'!$A44)</f>
        <v>INV-1037</v>
      </c>
      <c r="B44" s="55" t="str">
        <f aca="false">IF('Invoice &amp; Delivery Log'!$A44="","",'Invoice &amp; Delivery Log'!$C44)</f>
        <v>Lakeshore Packaging Group</v>
      </c>
      <c r="C44" s="64" t="n">
        <f aca="false">IF('Invoice &amp; Delivery Log'!$A44="","",'Invoice &amp; Delivery Log'!$H44)</f>
        <v>46189</v>
      </c>
      <c r="D44" s="64" t="n">
        <f aca="false">IF('Invoice &amp; Delivery Log'!$A44="","",'Invoice &amp; Delivery Log'!$M44)</f>
        <v>46219</v>
      </c>
      <c r="E44" s="70" t="n">
        <f aca="false">IF('Invoice &amp; Delivery Log'!$A44="","",IF('Invoice &amp; Delivery Log'!$Y44="Yes",'Invoice &amp; Delivery Log'!$P44,""))</f>
        <v>1941.11</v>
      </c>
      <c r="F44" s="47" t="n">
        <f aca="false">IF(OR($E44="",$D44=""),"",$D44-Settings!$C$5)</f>
        <v>-53</v>
      </c>
      <c r="G44" s="36" t="str">
        <f aca="false">IF($A44="","",IF($E44="","Closed",IF($F44="","No Due Date",IF($F44&lt;0,"Overdue",IF($F44&lt;=Settings!$C$11,"Due in 0-7 Days",IF($F44&lt;=2*Settings!$C$11,"Due in 8-14 Days",IF($F44&lt;=Settings!$C$12,"Due in 15-30 Days","Due in 31+ Days")))))))</f>
        <v>Overdue</v>
      </c>
      <c r="H44" s="29" t="n">
        <f aca="false">IF('Invoice &amp; Delivery Log'!$Z44="","",'Invoice &amp; Delivery Log'!$Z44)</f>
        <v>7</v>
      </c>
      <c r="I44" s="56" t="n">
        <v>46274</v>
      </c>
      <c r="J44" s="58" t="n">
        <v>1941.11</v>
      </c>
      <c r="K44" s="30" t="n">
        <f aca="false">IF($E44="","",ROUND($E44-N($J44),2))</f>
        <v>0</v>
      </c>
      <c r="L44" s="28" t="str">
        <f aca="false">IF($A44="","",IF($E44="","No action needed",IF(AND(N($J44)&gt;0,$I44=""),"Missing planned date",IF(ROUND(N($J44)-$E44,2)&gt;0,"Planned amount exceeds balance",IF(AND($I44&lt;&gt;"",$I44&lt;Settings!$C$5),"Planned date is in the past",IF(N($J44)&lt;=0,"Not planned yet",IF(ROUND($K44,2)&lt;=0,"Fully planned","Partly planned")))))))</f>
        <v>Fully planned</v>
      </c>
    </row>
    <row r="45" customFormat="false" ht="15" hidden="false" customHeight="true" outlineLevel="0" collapsed="false">
      <c r="A45" s="65" t="str">
        <f aca="false">IF('Invoice &amp; Delivery Log'!$A45="","",'Invoice &amp; Delivery Log'!$A45)</f>
        <v>INV-1038</v>
      </c>
      <c r="B45" s="59" t="str">
        <f aca="false">IF('Invoice &amp; Delivery Log'!$A45="","",'Invoice &amp; Delivery Log'!$C45)</f>
        <v>Summit Cleaning Services</v>
      </c>
      <c r="C45" s="66" t="n">
        <f aca="false">IF('Invoice &amp; Delivery Log'!$A45="","",'Invoice &amp; Delivery Log'!$H45)</f>
        <v>46195</v>
      </c>
      <c r="D45" s="66" t="n">
        <f aca="false">IF('Invoice &amp; Delivery Log'!$A45="","",'Invoice &amp; Delivery Log'!$M45)</f>
        <v>46209</v>
      </c>
      <c r="E45" s="71" t="str">
        <f aca="false">IF('Invoice &amp; Delivery Log'!$A45="","",IF('Invoice &amp; Delivery Log'!$Y45="Yes",'Invoice &amp; Delivery Log'!$P45,""))</f>
        <v/>
      </c>
      <c r="F45" s="52" t="str">
        <f aca="false">IF(OR($E45="",$D45=""),"",$D45-Settings!$C$5)</f>
        <v/>
      </c>
      <c r="G45" s="53" t="str">
        <f aca="false">IF($A45="","",IF($E45="","Closed",IF($F45="","No Due Date",IF($F45&lt;0,"Overdue",IF($F45&lt;=Settings!$C$11,"Due in 0-7 Days",IF($F45&lt;=2*Settings!$C$11,"Due in 8-14 Days",IF($F45&lt;=Settings!$C$12,"Due in 15-30 Days","Due in 31+ Days")))))))</f>
        <v>Closed</v>
      </c>
      <c r="H45" s="49" t="str">
        <f aca="false">IF('Invoice &amp; Delivery Log'!$Z45="","",'Invoice &amp; Delivery Log'!$Z45)</f>
        <v/>
      </c>
      <c r="I45" s="56"/>
      <c r="J45" s="58"/>
      <c r="K45" s="50" t="str">
        <f aca="false">IF($E45="","",ROUND($E45-N($J45),2))</f>
        <v/>
      </c>
      <c r="L45" s="62" t="str">
        <f aca="false">IF($A45="","",IF($E45="","No action needed",IF(AND(N($J45)&gt;0,$I45=""),"Missing planned date",IF(ROUND(N($J45)-$E45,2)&gt;0,"Planned amount exceeds balance",IF(AND($I45&lt;&gt;"",$I45&lt;Settings!$C$5),"Planned date is in the past",IF(N($J45)&lt;=0,"Not planned yet",IF(ROUND($K45,2)&lt;=0,"Fully planned","Partly planned")))))))</f>
        <v>No action needed</v>
      </c>
    </row>
    <row r="46" customFormat="false" ht="15" hidden="false" customHeight="true" outlineLevel="0" collapsed="false">
      <c r="A46" s="63" t="str">
        <f aca="false">IF('Invoice &amp; Delivery Log'!$A46="","",'Invoice &amp; Delivery Log'!$A46)</f>
        <v>INV-1039</v>
      </c>
      <c r="B46" s="55" t="str">
        <f aca="false">IF('Invoice &amp; Delivery Log'!$A46="","",'Invoice &amp; Delivery Log'!$C46)</f>
        <v>Summit Cleaning Services</v>
      </c>
      <c r="C46" s="64" t="n">
        <f aca="false">IF('Invoice &amp; Delivery Log'!$A46="","",'Invoice &amp; Delivery Log'!$H46)</f>
        <v>46202</v>
      </c>
      <c r="D46" s="64" t="n">
        <f aca="false">IF('Invoice &amp; Delivery Log'!$A46="","",'Invoice &amp; Delivery Log'!$M46)</f>
        <v>46216</v>
      </c>
      <c r="E46" s="70" t="str">
        <f aca="false">IF('Invoice &amp; Delivery Log'!$A46="","",IF('Invoice &amp; Delivery Log'!$Y46="Yes",'Invoice &amp; Delivery Log'!$P46,""))</f>
        <v/>
      </c>
      <c r="F46" s="47" t="str">
        <f aca="false">IF(OR($E46="",$D46=""),"",$D46-Settings!$C$5)</f>
        <v/>
      </c>
      <c r="G46" s="36" t="str">
        <f aca="false">IF($A46="","",IF($E46="","Closed",IF($F46="","No Due Date",IF($F46&lt;0,"Overdue",IF($F46&lt;=Settings!$C$11,"Due in 0-7 Days",IF($F46&lt;=2*Settings!$C$11,"Due in 8-14 Days",IF($F46&lt;=Settings!$C$12,"Due in 15-30 Days","Due in 31+ Days")))))))</f>
        <v>Closed</v>
      </c>
      <c r="H46" s="29" t="str">
        <f aca="false">IF('Invoice &amp; Delivery Log'!$Z46="","",'Invoice &amp; Delivery Log'!$Z46)</f>
        <v/>
      </c>
      <c r="I46" s="56"/>
      <c r="J46" s="58"/>
      <c r="K46" s="30" t="str">
        <f aca="false">IF($E46="","",ROUND($E46-N($J46),2))</f>
        <v/>
      </c>
      <c r="L46" s="28" t="str">
        <f aca="false">IF($A46="","",IF($E46="","No action needed",IF(AND(N($J46)&gt;0,$I46=""),"Missing planned date",IF(ROUND(N($J46)-$E46,2)&gt;0,"Planned amount exceeds balance",IF(AND($I46&lt;&gt;"",$I46&lt;Settings!$C$5),"Planned date is in the past",IF(N($J46)&lt;=0,"Not planned yet",IF(ROUND($K46,2)&lt;=0,"Fully planned","Partly planned")))))))</f>
        <v>No action needed</v>
      </c>
    </row>
    <row r="47" customFormat="false" ht="15" hidden="false" customHeight="true" outlineLevel="0" collapsed="false">
      <c r="A47" s="65" t="str">
        <f aca="false">IF('Invoice &amp; Delivery Log'!$A47="","",'Invoice &amp; Delivery Log'!$A47)</f>
        <v>INV-1040</v>
      </c>
      <c r="B47" s="59" t="str">
        <f aca="false">IF('Invoice &amp; Delivery Log'!$A47="","",'Invoice &amp; Delivery Log'!$C47)</f>
        <v>Northwind Paper Supply</v>
      </c>
      <c r="C47" s="66" t="n">
        <f aca="false">IF('Invoice &amp; Delivery Log'!$A47="","",'Invoice &amp; Delivery Log'!$H47)</f>
        <v>46196</v>
      </c>
      <c r="D47" s="66" t="n">
        <f aca="false">IF('Invoice &amp; Delivery Log'!$A47="","",'Invoice &amp; Delivery Log'!$M47)</f>
        <v>46226</v>
      </c>
      <c r="E47" s="71" t="n">
        <f aca="false">IF('Invoice &amp; Delivery Log'!$A47="","",IF('Invoice &amp; Delivery Log'!$Y47="Yes",'Invoice &amp; Delivery Log'!$P47,""))</f>
        <v>1607.26</v>
      </c>
      <c r="F47" s="52" t="n">
        <f aca="false">IF(OR($E47="",$D47=""),"",$D47-Settings!$C$5)</f>
        <v>-46</v>
      </c>
      <c r="G47" s="53" t="str">
        <f aca="false">IF($A47="","",IF($E47="","Closed",IF($F47="","No Due Date",IF($F47&lt;0,"Overdue",IF($F47&lt;=Settings!$C$11,"Due in 0-7 Days",IF($F47&lt;=2*Settings!$C$11,"Due in 8-14 Days",IF($F47&lt;=Settings!$C$12,"Due in 15-30 Days","Due in 31+ Days")))))))</f>
        <v>Overdue</v>
      </c>
      <c r="H47" s="49" t="n">
        <f aca="false">IF('Invoice &amp; Delivery Log'!$Z47="","",'Invoice &amp; Delivery Log'!$Z47)</f>
        <v>8</v>
      </c>
      <c r="I47" s="56" t="n">
        <v>46275</v>
      </c>
      <c r="J47" s="58" t="n">
        <v>1607.26</v>
      </c>
      <c r="K47" s="50" t="n">
        <f aca="false">IF($E47="","",ROUND($E47-N($J47),2))</f>
        <v>0</v>
      </c>
      <c r="L47" s="62" t="str">
        <f aca="false">IF($A47="","",IF($E47="","No action needed",IF(AND(N($J47)&gt;0,$I47=""),"Missing planned date",IF(ROUND(N($J47)-$E47,2)&gt;0,"Planned amount exceeds balance",IF(AND($I47&lt;&gt;"",$I47&lt;Settings!$C$5),"Planned date is in the past",IF(N($J47)&lt;=0,"Not planned yet",IF(ROUND($K47,2)&lt;=0,"Fully planned","Partly planned")))))))</f>
        <v>Fully planned</v>
      </c>
    </row>
    <row r="48" customFormat="false" ht="15" hidden="false" customHeight="true" outlineLevel="0" collapsed="false">
      <c r="A48" s="63" t="str">
        <f aca="false">IF('Invoice &amp; Delivery Log'!$A48="","",'Invoice &amp; Delivery Log'!$A48)</f>
        <v>INV-1041</v>
      </c>
      <c r="B48" s="55" t="str">
        <f aca="false">IF('Invoice &amp; Delivery Log'!$A48="","",'Invoice &amp; Delivery Log'!$C48)</f>
        <v>Cascade Foods Distribution</v>
      </c>
      <c r="C48" s="64" t="n">
        <f aca="false">IF('Invoice &amp; Delivery Log'!$A48="","",'Invoice &amp; Delivery Log'!$H48)</f>
        <v>46201</v>
      </c>
      <c r="D48" s="64" t="n">
        <f aca="false">IF('Invoice &amp; Delivery Log'!$A48="","",'Invoice &amp; Delivery Log'!$M48)</f>
        <v>46216</v>
      </c>
      <c r="E48" s="70" t="str">
        <f aca="false">IF('Invoice &amp; Delivery Log'!$A48="","",IF('Invoice &amp; Delivery Log'!$Y48="Yes",'Invoice &amp; Delivery Log'!$P48,""))</f>
        <v/>
      </c>
      <c r="F48" s="47" t="str">
        <f aca="false">IF(OR($E48="",$D48=""),"",$D48-Settings!$C$5)</f>
        <v/>
      </c>
      <c r="G48" s="36" t="str">
        <f aca="false">IF($A48="","",IF($E48="","Closed",IF($F48="","No Due Date",IF($F48&lt;0,"Overdue",IF($F48&lt;=Settings!$C$11,"Due in 0-7 Days",IF($F48&lt;=2*Settings!$C$11,"Due in 8-14 Days",IF($F48&lt;=Settings!$C$12,"Due in 15-30 Days","Due in 31+ Days")))))))</f>
        <v>Closed</v>
      </c>
      <c r="H48" s="29" t="str">
        <f aca="false">IF('Invoice &amp; Delivery Log'!$Z48="","",'Invoice &amp; Delivery Log'!$Z48)</f>
        <v/>
      </c>
      <c r="I48" s="56"/>
      <c r="J48" s="58"/>
      <c r="K48" s="30" t="str">
        <f aca="false">IF($E48="","",ROUND($E48-N($J48),2))</f>
        <v/>
      </c>
      <c r="L48" s="28" t="str">
        <f aca="false">IF($A48="","",IF($E48="","No action needed",IF(AND(N($J48)&gt;0,$I48=""),"Missing planned date",IF(ROUND(N($J48)-$E48,2)&gt;0,"Planned amount exceeds balance",IF(AND($I48&lt;&gt;"",$I48&lt;Settings!$C$5),"Planned date is in the past",IF(N($J48)&lt;=0,"Not planned yet",IF(ROUND($K48,2)&lt;=0,"Fully planned","Partly planned")))))))</f>
        <v>No action needed</v>
      </c>
    </row>
    <row r="49" customFormat="false" ht="15" hidden="false" customHeight="true" outlineLevel="0" collapsed="false">
      <c r="A49" s="65" t="str">
        <f aca="false">IF('Invoice &amp; Delivery Log'!$A49="","",'Invoice &amp; Delivery Log'!$A49)</f>
        <v>INV-1042</v>
      </c>
      <c r="B49" s="59" t="str">
        <f aca="false">IF('Invoice &amp; Delivery Log'!$A49="","",'Invoice &amp; Delivery Log'!$C49)</f>
        <v>Cascade Foods Distribution</v>
      </c>
      <c r="C49" s="66" t="n">
        <f aca="false">IF('Invoice &amp; Delivery Log'!$A49="","",'Invoice &amp; Delivery Log'!$H49)</f>
        <v>46201</v>
      </c>
      <c r="D49" s="66" t="n">
        <f aca="false">IF('Invoice &amp; Delivery Log'!$A49="","",'Invoice &amp; Delivery Log'!$M49)</f>
        <v>46216</v>
      </c>
      <c r="E49" s="71" t="str">
        <f aca="false">IF('Invoice &amp; Delivery Log'!$A49="","",IF('Invoice &amp; Delivery Log'!$Y49="Yes",'Invoice &amp; Delivery Log'!$P49,""))</f>
        <v/>
      </c>
      <c r="F49" s="52" t="str">
        <f aca="false">IF(OR($E49="",$D49=""),"",$D49-Settings!$C$5)</f>
        <v/>
      </c>
      <c r="G49" s="53" t="str">
        <f aca="false">IF($A49="","",IF($E49="","Closed",IF($F49="","No Due Date",IF($F49&lt;0,"Overdue",IF($F49&lt;=Settings!$C$11,"Due in 0-7 Days",IF($F49&lt;=2*Settings!$C$11,"Due in 8-14 Days",IF($F49&lt;=Settings!$C$12,"Due in 15-30 Days","Due in 31+ Days")))))))</f>
        <v>Closed</v>
      </c>
      <c r="H49" s="49" t="str">
        <f aca="false">IF('Invoice &amp; Delivery Log'!$Z49="","",'Invoice &amp; Delivery Log'!$Z49)</f>
        <v/>
      </c>
      <c r="I49" s="56"/>
      <c r="J49" s="58"/>
      <c r="K49" s="50" t="str">
        <f aca="false">IF($E49="","",ROUND($E49-N($J49),2))</f>
        <v/>
      </c>
      <c r="L49" s="62" t="str">
        <f aca="false">IF($A49="","",IF($E49="","No action needed",IF(AND(N($J49)&gt;0,$I49=""),"Missing planned date",IF(ROUND(N($J49)-$E49,2)&gt;0,"Planned amount exceeds balance",IF(AND($I49&lt;&gt;"",$I49&lt;Settings!$C$5),"Planned date is in the past",IF(N($J49)&lt;=0,"Not planned yet",IF(ROUND($K49,2)&lt;=0,"Fully planned","Partly planned")))))))</f>
        <v>No action needed</v>
      </c>
    </row>
    <row r="50" customFormat="false" ht="15" hidden="false" customHeight="true" outlineLevel="0" collapsed="false">
      <c r="A50" s="63" t="str">
        <f aca="false">IF('Invoice &amp; Delivery Log'!$A50="","",'Invoice &amp; Delivery Log'!$A50)</f>
        <v>INV-1043</v>
      </c>
      <c r="B50" s="55" t="str">
        <f aca="false">IF('Invoice &amp; Delivery Log'!$A50="","",'Invoice &amp; Delivery Log'!$C50)</f>
        <v>Vertex IT Solutions</v>
      </c>
      <c r="C50" s="64" t="n">
        <f aca="false">IF('Invoice &amp; Delivery Log'!$A50="","",'Invoice &amp; Delivery Log'!$H50)</f>
        <v>46210</v>
      </c>
      <c r="D50" s="64" t="n">
        <f aca="false">IF('Invoice &amp; Delivery Log'!$A50="","",'Invoice &amp; Delivery Log'!$M50)</f>
        <v>46240</v>
      </c>
      <c r="E50" s="70" t="n">
        <f aca="false">IF('Invoice &amp; Delivery Log'!$A50="","",IF('Invoice &amp; Delivery Log'!$Y50="Yes",'Invoice &amp; Delivery Log'!$P50,""))</f>
        <v>864.87</v>
      </c>
      <c r="F50" s="47" t="n">
        <f aca="false">IF(OR($E50="",$D50=""),"",$D50-Settings!$C$5)</f>
        <v>-32</v>
      </c>
      <c r="G50" s="36" t="str">
        <f aca="false">IF($A50="","",IF($E50="","Closed",IF($F50="","No Due Date",IF($F50&lt;0,"Overdue",IF($F50&lt;=Settings!$C$11,"Due in 0-7 Days",IF($F50&lt;=2*Settings!$C$11,"Due in 8-14 Days",IF($F50&lt;=Settings!$C$12,"Due in 15-30 Days","Due in 31+ Days")))))))</f>
        <v>Overdue</v>
      </c>
      <c r="H50" s="29" t="n">
        <f aca="false">IF('Invoice &amp; Delivery Log'!$Z50="","",'Invoice &amp; Delivery Log'!$Z50)</f>
        <v>10</v>
      </c>
      <c r="I50" s="56"/>
      <c r="J50" s="58"/>
      <c r="K50" s="30" t="n">
        <f aca="false">IF($E50="","",ROUND($E50-N($J50),2))</f>
        <v>864.87</v>
      </c>
      <c r="L50" s="28" t="str">
        <f aca="false">IF($A50="","",IF($E50="","No action needed",IF(AND(N($J50)&gt;0,$I50=""),"Missing planned date",IF(ROUND(N($J50)-$E50,2)&gt;0,"Planned amount exceeds balance",IF(AND($I50&lt;&gt;"",$I50&lt;Settings!$C$5),"Planned date is in the past",IF(N($J50)&lt;=0,"Not planned yet",IF(ROUND($K50,2)&lt;=0,"Fully planned","Partly planned")))))))</f>
        <v>Not planned yet</v>
      </c>
    </row>
    <row r="51" customFormat="false" ht="15" hidden="false" customHeight="true" outlineLevel="0" collapsed="false">
      <c r="A51" s="65" t="str">
        <f aca="false">IF('Invoice &amp; Delivery Log'!$A51="","",'Invoice &amp; Delivery Log'!$A51)</f>
        <v>INV-1044</v>
      </c>
      <c r="B51" s="59" t="str">
        <f aca="false">IF('Invoice &amp; Delivery Log'!$A51="","",'Invoice &amp; Delivery Log'!$C51)</f>
        <v>Northwind Paper Supply</v>
      </c>
      <c r="C51" s="66" t="n">
        <f aca="false">IF('Invoice &amp; Delivery Log'!$A51="","",'Invoice &amp; Delivery Log'!$H51)</f>
        <v>46210</v>
      </c>
      <c r="D51" s="66" t="n">
        <f aca="false">IF('Invoice &amp; Delivery Log'!$A51="","",'Invoice &amp; Delivery Log'!$M51)</f>
        <v>46240</v>
      </c>
      <c r="E51" s="71" t="str">
        <f aca="false">IF('Invoice &amp; Delivery Log'!$A51="","",IF('Invoice &amp; Delivery Log'!$Y51="Yes",'Invoice &amp; Delivery Log'!$P51,""))</f>
        <v/>
      </c>
      <c r="F51" s="52" t="str">
        <f aca="false">IF(OR($E51="",$D51=""),"",$D51-Settings!$C$5)</f>
        <v/>
      </c>
      <c r="G51" s="53" t="str">
        <f aca="false">IF($A51="","",IF($E51="","Closed",IF($F51="","No Due Date",IF($F51&lt;0,"Overdue",IF($F51&lt;=Settings!$C$11,"Due in 0-7 Days",IF($F51&lt;=2*Settings!$C$11,"Due in 8-14 Days",IF($F51&lt;=Settings!$C$12,"Due in 15-30 Days","Due in 31+ Days")))))))</f>
        <v>Closed</v>
      </c>
      <c r="H51" s="49" t="str">
        <f aca="false">IF('Invoice &amp; Delivery Log'!$Z51="","",'Invoice &amp; Delivery Log'!$Z51)</f>
        <v/>
      </c>
      <c r="I51" s="56"/>
      <c r="J51" s="58"/>
      <c r="K51" s="50" t="str">
        <f aca="false">IF($E51="","",ROUND($E51-N($J51),2))</f>
        <v/>
      </c>
      <c r="L51" s="62" t="str">
        <f aca="false">IF($A51="","",IF($E51="","No action needed",IF(AND(N($J51)&gt;0,$I51=""),"Missing planned date",IF(ROUND(N($J51)-$E51,2)&gt;0,"Planned amount exceeds balance",IF(AND($I51&lt;&gt;"",$I51&lt;Settings!$C$5),"Planned date is in the past",IF(N($J51)&lt;=0,"Not planned yet",IF(ROUND($K51,2)&lt;=0,"Fully planned","Partly planned")))))))</f>
        <v>No action needed</v>
      </c>
    </row>
    <row r="52" customFormat="false" ht="15" hidden="false" customHeight="true" outlineLevel="0" collapsed="false">
      <c r="A52" s="63" t="str">
        <f aca="false">IF('Invoice &amp; Delivery Log'!$A52="","",'Invoice &amp; Delivery Log'!$A52)</f>
        <v>INV-1045</v>
      </c>
      <c r="B52" s="55" t="str">
        <f aca="false">IF('Invoice &amp; Delivery Log'!$A52="","",'Invoice &amp; Delivery Log'!$C52)</f>
        <v>Cascade Foods Distribution</v>
      </c>
      <c r="C52" s="64" t="n">
        <f aca="false">IF('Invoice &amp; Delivery Log'!$A52="","",'Invoice &amp; Delivery Log'!$H52)</f>
        <v>46212</v>
      </c>
      <c r="D52" s="64" t="n">
        <f aca="false">IF('Invoice &amp; Delivery Log'!$A52="","",'Invoice &amp; Delivery Log'!$M52)</f>
        <v>46227</v>
      </c>
      <c r="E52" s="70" t="n">
        <f aca="false">IF('Invoice &amp; Delivery Log'!$A52="","",IF('Invoice &amp; Delivery Log'!$Y52="Yes",'Invoice &amp; Delivery Log'!$P52,""))</f>
        <v>1278.49</v>
      </c>
      <c r="F52" s="47" t="n">
        <f aca="false">IF(OR($E52="",$D52=""),"",$D52-Settings!$C$5)</f>
        <v>-45</v>
      </c>
      <c r="G52" s="36" t="str">
        <f aca="false">IF($A52="","",IF($E52="","Closed",IF($F52="","No Due Date",IF($F52&lt;0,"Overdue",IF($F52&lt;=Settings!$C$11,"Due in 0-7 Days",IF($F52&lt;=2*Settings!$C$11,"Due in 8-14 Days",IF($F52&lt;=Settings!$C$12,"Due in 15-30 Days","Due in 31+ Days")))))))</f>
        <v>Overdue</v>
      </c>
      <c r="H52" s="29" t="n">
        <f aca="false">IF('Invoice &amp; Delivery Log'!$Z52="","",'Invoice &amp; Delivery Log'!$Z52)</f>
        <v>9</v>
      </c>
      <c r="I52" s="56" t="n">
        <v>46276</v>
      </c>
      <c r="J52" s="58" t="n">
        <v>639.25</v>
      </c>
      <c r="K52" s="30" t="n">
        <f aca="false">IF($E52="","",ROUND($E52-N($J52),2))</f>
        <v>639.24</v>
      </c>
      <c r="L52" s="28" t="str">
        <f aca="false">IF($A52="","",IF($E52="","No action needed",IF(AND(N($J52)&gt;0,$I52=""),"Missing planned date",IF(ROUND(N($J52)-$E52,2)&gt;0,"Planned amount exceeds balance",IF(AND($I52&lt;&gt;"",$I52&lt;Settings!$C$5),"Planned date is in the past",IF(N($J52)&lt;=0,"Not planned yet",IF(ROUND($K52,2)&lt;=0,"Fully planned","Partly planned")))))))</f>
        <v>Partly planned</v>
      </c>
    </row>
    <row r="53" customFormat="false" ht="15" hidden="false" customHeight="true" outlineLevel="0" collapsed="false">
      <c r="A53" s="65" t="str">
        <f aca="false">IF('Invoice &amp; Delivery Log'!$A53="","",'Invoice &amp; Delivery Log'!$A53)</f>
        <v>INV-1046</v>
      </c>
      <c r="B53" s="59" t="str">
        <f aca="false">IF('Invoice &amp; Delivery Log'!$A53="","",'Invoice &amp; Delivery Log'!$C53)</f>
        <v>Redstone Safety Equipment</v>
      </c>
      <c r="C53" s="66" t="n">
        <f aca="false">IF('Invoice &amp; Delivery Log'!$A53="","",'Invoice &amp; Delivery Log'!$H53)</f>
        <v>46215</v>
      </c>
      <c r="D53" s="66" t="n">
        <f aca="false">IF('Invoice &amp; Delivery Log'!$A53="","",'Invoice &amp; Delivery Log'!$M53)</f>
        <v>46245</v>
      </c>
      <c r="E53" s="71" t="n">
        <f aca="false">IF('Invoice &amp; Delivery Log'!$A53="","",IF('Invoice &amp; Delivery Log'!$Y53="Yes",'Invoice &amp; Delivery Log'!$P53,""))</f>
        <v>2761.28</v>
      </c>
      <c r="F53" s="52" t="n">
        <f aca="false">IF(OR($E53="",$D53=""),"",$D53-Settings!$C$5)</f>
        <v>-27</v>
      </c>
      <c r="G53" s="53" t="str">
        <f aca="false">IF($A53="","",IF($E53="","Closed",IF($F53="","No Due Date",IF($F53&lt;0,"Overdue",IF($F53&lt;=Settings!$C$11,"Due in 0-7 Days",IF($F53&lt;=2*Settings!$C$11,"Due in 8-14 Days",IF($F53&lt;=Settings!$C$12,"Due in 15-30 Days","Due in 31+ Days")))))))</f>
        <v>Overdue</v>
      </c>
      <c r="H53" s="49" t="n">
        <f aca="false">IF('Invoice &amp; Delivery Log'!$Z53="","",'Invoice &amp; Delivery Log'!$Z53)</f>
        <v>11</v>
      </c>
      <c r="I53" s="56"/>
      <c r="J53" s="58"/>
      <c r="K53" s="50" t="n">
        <f aca="false">IF($E53="","",ROUND($E53-N($J53),2))</f>
        <v>2761.28</v>
      </c>
      <c r="L53" s="62" t="str">
        <f aca="false">IF($A53="","",IF($E53="","No action needed",IF(AND(N($J53)&gt;0,$I53=""),"Missing planned date",IF(ROUND(N($J53)-$E53,2)&gt;0,"Planned amount exceeds balance",IF(AND($I53&lt;&gt;"",$I53&lt;Settings!$C$5),"Planned date is in the past",IF(N($J53)&lt;=0,"Not planned yet",IF(ROUND($K53,2)&lt;=0,"Fully planned","Partly planned")))))))</f>
        <v>Not planned yet</v>
      </c>
    </row>
    <row r="54" customFormat="false" ht="15" hidden="false" customHeight="true" outlineLevel="0" collapsed="false">
      <c r="A54" s="63" t="str">
        <f aca="false">IF('Invoice &amp; Delivery Log'!$A54="","",'Invoice &amp; Delivery Log'!$A54)</f>
        <v>INV-1047</v>
      </c>
      <c r="B54" s="55" t="str">
        <f aca="false">IF('Invoice &amp; Delivery Log'!$A54="","",'Invoice &amp; Delivery Log'!$C54)</f>
        <v>Harborline Logistics</v>
      </c>
      <c r="C54" s="64" t="n">
        <f aca="false">IF('Invoice &amp; Delivery Log'!$A54="","",'Invoice &amp; Delivery Log'!$H54)</f>
        <v>46217</v>
      </c>
      <c r="D54" s="64" t="n">
        <f aca="false">IF('Invoice &amp; Delivery Log'!$A54="","",'Invoice &amp; Delivery Log'!$M54)</f>
        <v>46247</v>
      </c>
      <c r="E54" s="70" t="str">
        <f aca="false">IF('Invoice &amp; Delivery Log'!$A54="","",IF('Invoice &amp; Delivery Log'!$Y54="Yes",'Invoice &amp; Delivery Log'!$P54,""))</f>
        <v/>
      </c>
      <c r="F54" s="47" t="str">
        <f aca="false">IF(OR($E54="",$D54=""),"",$D54-Settings!$C$5)</f>
        <v/>
      </c>
      <c r="G54" s="36" t="str">
        <f aca="false">IF($A54="","",IF($E54="","Closed",IF($F54="","No Due Date",IF($F54&lt;0,"Overdue",IF($F54&lt;=Settings!$C$11,"Due in 0-7 Days",IF($F54&lt;=2*Settings!$C$11,"Due in 8-14 Days",IF($F54&lt;=Settings!$C$12,"Due in 15-30 Days","Due in 31+ Days")))))))</f>
        <v>Closed</v>
      </c>
      <c r="H54" s="29" t="str">
        <f aca="false">IF('Invoice &amp; Delivery Log'!$Z54="","",'Invoice &amp; Delivery Log'!$Z54)</f>
        <v/>
      </c>
      <c r="I54" s="56"/>
      <c r="J54" s="58"/>
      <c r="K54" s="30" t="str">
        <f aca="false">IF($E54="","",ROUND($E54-N($J54),2))</f>
        <v/>
      </c>
      <c r="L54" s="28" t="str">
        <f aca="false">IF($A54="","",IF($E54="","No action needed",IF(AND(N($J54)&gt;0,$I54=""),"Missing planned date",IF(ROUND(N($J54)-$E54,2)&gt;0,"Planned amount exceeds balance",IF(AND($I54&lt;&gt;"",$I54&lt;Settings!$C$5),"Planned date is in the past",IF(N($J54)&lt;=0,"Not planned yet",IF(ROUND($K54,2)&lt;=0,"Fully planned","Partly planned")))))))</f>
        <v>No action needed</v>
      </c>
    </row>
    <row r="55" customFormat="false" ht="15" hidden="false" customHeight="true" outlineLevel="0" collapsed="false">
      <c r="A55" s="65" t="str">
        <f aca="false">IF('Invoice &amp; Delivery Log'!$A55="","",'Invoice &amp; Delivery Log'!$A55)</f>
        <v>INV-1048</v>
      </c>
      <c r="B55" s="59" t="str">
        <f aca="false">IF('Invoice &amp; Delivery Log'!$A55="","",'Invoice &amp; Delivery Log'!$C55)</f>
        <v>Harborline Logistics</v>
      </c>
      <c r="C55" s="66" t="n">
        <f aca="false">IF('Invoice &amp; Delivery Log'!$A55="","",'Invoice &amp; Delivery Log'!$H55)</f>
        <v>46220</v>
      </c>
      <c r="D55" s="66" t="n">
        <f aca="false">IF('Invoice &amp; Delivery Log'!$A55="","",'Invoice &amp; Delivery Log'!$M55)</f>
        <v>46250</v>
      </c>
      <c r="E55" s="71" t="n">
        <f aca="false">IF('Invoice &amp; Delivery Log'!$A55="","",IF('Invoice &amp; Delivery Log'!$Y55="Yes",'Invoice &amp; Delivery Log'!$P55,""))</f>
        <v>1104.5</v>
      </c>
      <c r="F55" s="52" t="n">
        <f aca="false">IF(OR($E55="",$D55=""),"",$D55-Settings!$C$5)</f>
        <v>-22</v>
      </c>
      <c r="G55" s="53" t="str">
        <f aca="false">IF($A55="","",IF($E55="","Closed",IF($F55="","No Due Date",IF($F55&lt;0,"Overdue",IF($F55&lt;=Settings!$C$11,"Due in 0-7 Days",IF($F55&lt;=2*Settings!$C$11,"Due in 8-14 Days",IF($F55&lt;=Settings!$C$12,"Due in 15-30 Days","Due in 31+ Days")))))))</f>
        <v>Overdue</v>
      </c>
      <c r="H55" s="49" t="n">
        <f aca="false">IF('Invoice &amp; Delivery Log'!$Z55="","",'Invoice &amp; Delivery Log'!$Z55)</f>
        <v>12</v>
      </c>
      <c r="I55" s="56"/>
      <c r="J55" s="58"/>
      <c r="K55" s="50" t="n">
        <f aca="false">IF($E55="","",ROUND($E55-N($J55),2))</f>
        <v>1104.5</v>
      </c>
      <c r="L55" s="62" t="str">
        <f aca="false">IF($A55="","",IF($E55="","No action needed",IF(AND(N($J55)&gt;0,$I55=""),"Missing planned date",IF(ROUND(N($J55)-$E55,2)&gt;0,"Planned amount exceeds balance",IF(AND($I55&lt;&gt;"",$I55&lt;Settings!$C$5),"Planned date is in the past",IF(N($J55)&lt;=0,"Not planned yet",IF(ROUND($K55,2)&lt;=0,"Fully planned","Partly planned")))))))</f>
        <v>Not planned yet</v>
      </c>
    </row>
    <row r="56" customFormat="false" ht="15" hidden="false" customHeight="true" outlineLevel="0" collapsed="false">
      <c r="A56" s="63" t="str">
        <f aca="false">IF('Invoice &amp; Delivery Log'!$A56="","",'Invoice &amp; Delivery Log'!$A56)</f>
        <v>INV-1049</v>
      </c>
      <c r="B56" s="55" t="str">
        <f aca="false">IF('Invoice &amp; Delivery Log'!$A56="","",'Invoice &amp; Delivery Log'!$C56)</f>
        <v>Ironbridge Hardware Co.</v>
      </c>
      <c r="C56" s="64" t="n">
        <f aca="false">IF('Invoice &amp; Delivery Log'!$A56="","",'Invoice &amp; Delivery Log'!$H56)</f>
        <v>46229</v>
      </c>
      <c r="D56" s="64" t="n">
        <f aca="false">IF('Invoice &amp; Delivery Log'!$A56="","",'Invoice &amp; Delivery Log'!$M56)</f>
        <v>46274</v>
      </c>
      <c r="E56" s="70" t="n">
        <f aca="false">IF('Invoice &amp; Delivery Log'!$A56="","",IF('Invoice &amp; Delivery Log'!$Y56="Yes",'Invoice &amp; Delivery Log'!$P56,""))</f>
        <v>3748.61</v>
      </c>
      <c r="F56" s="47" t="n">
        <f aca="false">IF(OR($E56="",$D56=""),"",$D56-Settings!$C$5)</f>
        <v>2</v>
      </c>
      <c r="G56" s="36" t="str">
        <f aca="false">IF($A56="","",IF($E56="","Closed",IF($F56="","No Due Date",IF($F56&lt;0,"Overdue",IF($F56&lt;=Settings!$C$11,"Due in 0-7 Days",IF($F56&lt;=2*Settings!$C$11,"Due in 8-14 Days",IF($F56&lt;=Settings!$C$12,"Due in 15-30 Days","Due in 31+ Days")))))))</f>
        <v>Due in 0-7 Days</v>
      </c>
      <c r="H56" s="29" t="n">
        <f aca="false">IF('Invoice &amp; Delivery Log'!$Z56="","",'Invoice &amp; Delivery Log'!$Z56)</f>
        <v>13</v>
      </c>
      <c r="I56" s="56"/>
      <c r="J56" s="58"/>
      <c r="K56" s="30" t="n">
        <f aca="false">IF($E56="","",ROUND($E56-N($J56),2))</f>
        <v>3748.61</v>
      </c>
      <c r="L56" s="28" t="str">
        <f aca="false">IF($A56="","",IF($E56="","No action needed",IF(AND(N($J56)&gt;0,$I56=""),"Missing planned date",IF(ROUND(N($J56)-$E56,2)&gt;0,"Planned amount exceeds balance",IF(AND($I56&lt;&gt;"",$I56&lt;Settings!$C$5),"Planned date is in the past",IF(N($J56)&lt;=0,"Not planned yet",IF(ROUND($K56,2)&lt;=0,"Fully planned","Partly planned")))))))</f>
        <v>Not planned yet</v>
      </c>
    </row>
    <row r="57" customFormat="false" ht="15" hidden="false" customHeight="true" outlineLevel="0" collapsed="false">
      <c r="A57" s="65" t="str">
        <f aca="false">IF('Invoice &amp; Delivery Log'!$A57="","",'Invoice &amp; Delivery Log'!$A57)</f>
        <v>INV-1050</v>
      </c>
      <c r="B57" s="59" t="str">
        <f aca="false">IF('Invoice &amp; Delivery Log'!$A57="","",'Invoice &amp; Delivery Log'!$C57)</f>
        <v>Harborline Logistics</v>
      </c>
      <c r="C57" s="66" t="n">
        <f aca="false">IF('Invoice &amp; Delivery Log'!$A57="","",'Invoice &amp; Delivery Log'!$H57)</f>
        <v>46223</v>
      </c>
      <c r="D57" s="66" t="n">
        <f aca="false">IF('Invoice &amp; Delivery Log'!$A57="","",'Invoice &amp; Delivery Log'!$M57)</f>
        <v>46253</v>
      </c>
      <c r="E57" s="71" t="str">
        <f aca="false">IF('Invoice &amp; Delivery Log'!$A57="","",IF('Invoice &amp; Delivery Log'!$Y57="Yes",'Invoice &amp; Delivery Log'!$P57,""))</f>
        <v/>
      </c>
      <c r="F57" s="52" t="str">
        <f aca="false">IF(OR($E57="",$D57=""),"",$D57-Settings!$C$5)</f>
        <v/>
      </c>
      <c r="G57" s="53" t="str">
        <f aca="false">IF($A57="","",IF($E57="","Closed",IF($F57="","No Due Date",IF($F57&lt;0,"Overdue",IF($F57&lt;=Settings!$C$11,"Due in 0-7 Days",IF($F57&lt;=2*Settings!$C$11,"Due in 8-14 Days",IF($F57&lt;=Settings!$C$12,"Due in 15-30 Days","Due in 31+ Days")))))))</f>
        <v>Closed</v>
      </c>
      <c r="H57" s="49" t="str">
        <f aca="false">IF('Invoice &amp; Delivery Log'!$Z57="","",'Invoice &amp; Delivery Log'!$Z57)</f>
        <v/>
      </c>
      <c r="I57" s="56"/>
      <c r="J57" s="58"/>
      <c r="K57" s="50" t="str">
        <f aca="false">IF($E57="","",ROUND($E57-N($J57),2))</f>
        <v/>
      </c>
      <c r="L57" s="62" t="str">
        <f aca="false">IF($A57="","",IF($E57="","No action needed",IF(AND(N($J57)&gt;0,$I57=""),"Missing planned date",IF(ROUND(N($J57)-$E57,2)&gt;0,"Planned amount exceeds balance",IF(AND($I57&lt;&gt;"",$I57&lt;Settings!$C$5),"Planned date is in the past",IF(N($J57)&lt;=0,"Not planned yet",IF(ROUND($K57,2)&lt;=0,"Fully planned","Partly planned")))))))</f>
        <v>No action needed</v>
      </c>
    </row>
    <row r="58" customFormat="false" ht="15" hidden="false" customHeight="true" outlineLevel="0" collapsed="false">
      <c r="A58" s="63" t="str">
        <f aca="false">IF('Invoice &amp; Delivery Log'!$A58="","",'Invoice &amp; Delivery Log'!$A58)</f>
        <v>INV-1051</v>
      </c>
      <c r="B58" s="55" t="str">
        <f aca="false">IF('Invoice &amp; Delivery Log'!$A58="","",'Invoice &amp; Delivery Log'!$C58)</f>
        <v>Summit Cleaning Services</v>
      </c>
      <c r="C58" s="64" t="n">
        <f aca="false">IF('Invoice &amp; Delivery Log'!$A58="","",'Invoice &amp; Delivery Log'!$H58)</f>
        <v>46226</v>
      </c>
      <c r="D58" s="64" t="n">
        <f aca="false">IF('Invoice &amp; Delivery Log'!$A58="","",'Invoice &amp; Delivery Log'!$M58)</f>
        <v>46240</v>
      </c>
      <c r="E58" s="70" t="str">
        <f aca="false">IF('Invoice &amp; Delivery Log'!$A58="","",IF('Invoice &amp; Delivery Log'!$Y58="Yes",'Invoice &amp; Delivery Log'!$P58,""))</f>
        <v/>
      </c>
      <c r="F58" s="47" t="str">
        <f aca="false">IF(OR($E58="",$D58=""),"",$D58-Settings!$C$5)</f>
        <v/>
      </c>
      <c r="G58" s="36" t="str">
        <f aca="false">IF($A58="","",IF($E58="","Closed",IF($F58="","No Due Date",IF($F58&lt;0,"Overdue",IF($F58&lt;=Settings!$C$11,"Due in 0-7 Days",IF($F58&lt;=2*Settings!$C$11,"Due in 8-14 Days",IF($F58&lt;=Settings!$C$12,"Due in 15-30 Days","Due in 31+ Days")))))))</f>
        <v>Closed</v>
      </c>
      <c r="H58" s="29" t="str">
        <f aca="false">IF('Invoice &amp; Delivery Log'!$Z58="","",'Invoice &amp; Delivery Log'!$Z58)</f>
        <v/>
      </c>
      <c r="I58" s="56"/>
      <c r="J58" s="58"/>
      <c r="K58" s="30" t="str">
        <f aca="false">IF($E58="","",ROUND($E58-N($J58),2))</f>
        <v/>
      </c>
      <c r="L58" s="28" t="str">
        <f aca="false">IF($A58="","",IF($E58="","No action needed",IF(AND(N($J58)&gt;0,$I58=""),"Missing planned date",IF(ROUND(N($J58)-$E58,2)&gt;0,"Planned amount exceeds balance",IF(AND($I58&lt;&gt;"",$I58&lt;Settings!$C$5),"Planned date is in the past",IF(N($J58)&lt;=0,"Not planned yet",IF(ROUND($K58,2)&lt;=0,"Fully planned","Partly planned")))))))</f>
        <v>No action needed</v>
      </c>
    </row>
    <row r="59" customFormat="false" ht="15" hidden="false" customHeight="true" outlineLevel="0" collapsed="false">
      <c r="A59" s="65" t="str">
        <f aca="false">IF('Invoice &amp; Delivery Log'!$A59="","",'Invoice &amp; Delivery Log'!$A59)</f>
        <v>INV-1052</v>
      </c>
      <c r="B59" s="59" t="str">
        <f aca="false">IF('Invoice &amp; Delivery Log'!$A59="","",'Invoice &amp; Delivery Log'!$C59)</f>
        <v>Harborline Logistics</v>
      </c>
      <c r="C59" s="66" t="n">
        <f aca="false">IF('Invoice &amp; Delivery Log'!$A59="","",'Invoice &amp; Delivery Log'!$H59)</f>
        <v>46231</v>
      </c>
      <c r="D59" s="66" t="n">
        <f aca="false">IF('Invoice &amp; Delivery Log'!$A59="","",'Invoice &amp; Delivery Log'!$M59)</f>
        <v>46261</v>
      </c>
      <c r="E59" s="71" t="str">
        <f aca="false">IF('Invoice &amp; Delivery Log'!$A59="","",IF('Invoice &amp; Delivery Log'!$Y59="Yes",'Invoice &amp; Delivery Log'!$P59,""))</f>
        <v/>
      </c>
      <c r="F59" s="52" t="str">
        <f aca="false">IF(OR($E59="",$D59=""),"",$D59-Settings!$C$5)</f>
        <v/>
      </c>
      <c r="G59" s="53" t="str">
        <f aca="false">IF($A59="","",IF($E59="","Closed",IF($F59="","No Due Date",IF($F59&lt;0,"Overdue",IF($F59&lt;=Settings!$C$11,"Due in 0-7 Days",IF($F59&lt;=2*Settings!$C$11,"Due in 8-14 Days",IF($F59&lt;=Settings!$C$12,"Due in 15-30 Days","Due in 31+ Days")))))))</f>
        <v>Closed</v>
      </c>
      <c r="H59" s="49" t="str">
        <f aca="false">IF('Invoice &amp; Delivery Log'!$Z59="","",'Invoice &amp; Delivery Log'!$Z59)</f>
        <v/>
      </c>
      <c r="I59" s="56"/>
      <c r="J59" s="58"/>
      <c r="K59" s="50" t="str">
        <f aca="false">IF($E59="","",ROUND($E59-N($J59),2))</f>
        <v/>
      </c>
      <c r="L59" s="62" t="str">
        <f aca="false">IF($A59="","",IF($E59="","No action needed",IF(AND(N($J59)&gt;0,$I59=""),"Missing planned date",IF(ROUND(N($J59)-$E59,2)&gt;0,"Planned amount exceeds balance",IF(AND($I59&lt;&gt;"",$I59&lt;Settings!$C$5),"Planned date is in the past",IF(N($J59)&lt;=0,"Not planned yet",IF(ROUND($K59,2)&lt;=0,"Fully planned","Partly planned")))))))</f>
        <v>No action needed</v>
      </c>
    </row>
    <row r="60" customFormat="false" ht="15" hidden="false" customHeight="true" outlineLevel="0" collapsed="false">
      <c r="A60" s="63" t="str">
        <f aca="false">IF('Invoice &amp; Delivery Log'!$A60="","",'Invoice &amp; Delivery Log'!$A60)</f>
        <v>INV-1053</v>
      </c>
      <c r="B60" s="55" t="str">
        <f aca="false">IF('Invoice &amp; Delivery Log'!$A60="","",'Invoice &amp; Delivery Log'!$C60)</f>
        <v>Northwind Paper Supply</v>
      </c>
      <c r="C60" s="64" t="n">
        <f aca="false">IF('Invoice &amp; Delivery Log'!$A60="","",'Invoice &amp; Delivery Log'!$H60)</f>
        <v>46235</v>
      </c>
      <c r="D60" s="64" t="n">
        <f aca="false">IF('Invoice &amp; Delivery Log'!$A60="","",'Invoice &amp; Delivery Log'!$M60)</f>
        <v>46265</v>
      </c>
      <c r="E60" s="70" t="str">
        <f aca="false">IF('Invoice &amp; Delivery Log'!$A60="","",IF('Invoice &amp; Delivery Log'!$Y60="Yes",'Invoice &amp; Delivery Log'!$P60,""))</f>
        <v/>
      </c>
      <c r="F60" s="47" t="str">
        <f aca="false">IF(OR($E60="",$D60=""),"",$D60-Settings!$C$5)</f>
        <v/>
      </c>
      <c r="G60" s="36" t="str">
        <f aca="false">IF($A60="","",IF($E60="","Closed",IF($F60="","No Due Date",IF($F60&lt;0,"Overdue",IF($F60&lt;=Settings!$C$11,"Due in 0-7 Days",IF($F60&lt;=2*Settings!$C$11,"Due in 8-14 Days",IF($F60&lt;=Settings!$C$12,"Due in 15-30 Days","Due in 31+ Days")))))))</f>
        <v>Closed</v>
      </c>
      <c r="H60" s="29" t="str">
        <f aca="false">IF('Invoice &amp; Delivery Log'!$Z60="","",'Invoice &amp; Delivery Log'!$Z60)</f>
        <v/>
      </c>
      <c r="I60" s="56"/>
      <c r="J60" s="58"/>
      <c r="K60" s="30" t="str">
        <f aca="false">IF($E60="","",ROUND($E60-N($J60),2))</f>
        <v/>
      </c>
      <c r="L60" s="28" t="str">
        <f aca="false">IF($A60="","",IF($E60="","No action needed",IF(AND(N($J60)&gt;0,$I60=""),"Missing planned date",IF(ROUND(N($J60)-$E60,2)&gt;0,"Planned amount exceeds balance",IF(AND($I60&lt;&gt;"",$I60&lt;Settings!$C$5),"Planned date is in the past",IF(N($J60)&lt;=0,"Not planned yet",IF(ROUND($K60,2)&lt;=0,"Fully planned","Partly planned")))))))</f>
        <v>No action needed</v>
      </c>
    </row>
    <row r="61" customFormat="false" ht="15" hidden="false" customHeight="true" outlineLevel="0" collapsed="false">
      <c r="A61" s="65" t="str">
        <f aca="false">IF('Invoice &amp; Delivery Log'!$A61="","",'Invoice &amp; Delivery Log'!$A61)</f>
        <v>INV-1054</v>
      </c>
      <c r="B61" s="59" t="str">
        <f aca="false">IF('Invoice &amp; Delivery Log'!$A61="","",'Invoice &amp; Delivery Log'!$C61)</f>
        <v>Ironbridge Hardware Co.</v>
      </c>
      <c r="C61" s="66" t="n">
        <f aca="false">IF('Invoice &amp; Delivery Log'!$A61="","",'Invoice &amp; Delivery Log'!$H61)</f>
        <v>46244</v>
      </c>
      <c r="D61" s="66" t="n">
        <f aca="false">IF('Invoice &amp; Delivery Log'!$A61="","",'Invoice &amp; Delivery Log'!$M61)</f>
        <v>46289</v>
      </c>
      <c r="E61" s="71" t="n">
        <f aca="false">IF('Invoice &amp; Delivery Log'!$A61="","",IF('Invoice &amp; Delivery Log'!$Y61="Yes",'Invoice &amp; Delivery Log'!$P61,""))</f>
        <v>2455.83</v>
      </c>
      <c r="F61" s="52" t="n">
        <f aca="false">IF(OR($E61="",$D61=""),"",$D61-Settings!$C$5)</f>
        <v>17</v>
      </c>
      <c r="G61" s="53" t="str">
        <f aca="false">IF($A61="","",IF($E61="","Closed",IF($F61="","No Due Date",IF($F61&lt;0,"Overdue",IF($F61&lt;=Settings!$C$11,"Due in 0-7 Days",IF($F61&lt;=2*Settings!$C$11,"Due in 8-14 Days",IF($F61&lt;=Settings!$C$12,"Due in 15-30 Days","Due in 31+ Days")))))))</f>
        <v>Due in 15-30 Days</v>
      </c>
      <c r="H61" s="49" t="n">
        <f aca="false">IF('Invoice &amp; Delivery Log'!$Z61="","",'Invoice &amp; Delivery Log'!$Z61)</f>
        <v>14</v>
      </c>
      <c r="I61" s="56"/>
      <c r="J61" s="58"/>
      <c r="K61" s="50" t="n">
        <f aca="false">IF($E61="","",ROUND($E61-N($J61),2))</f>
        <v>2455.83</v>
      </c>
      <c r="L61" s="62" t="str">
        <f aca="false">IF($A61="","",IF($E61="","No action needed",IF(AND(N($J61)&gt;0,$I61=""),"Missing planned date",IF(ROUND(N($J61)-$E61,2)&gt;0,"Planned amount exceeds balance",IF(AND($I61&lt;&gt;"",$I61&lt;Settings!$C$5),"Planned date is in the past",IF(N($J61)&lt;=0,"Not planned yet",IF(ROUND($K61,2)&lt;=0,"Fully planned","Partly planned")))))))</f>
        <v>Not planned yet</v>
      </c>
    </row>
    <row r="62" customFormat="false" ht="15" hidden="false" customHeight="true" outlineLevel="0" collapsed="false">
      <c r="A62" s="63" t="str">
        <f aca="false">IF('Invoice &amp; Delivery Log'!$A62="","",'Invoice &amp; Delivery Log'!$A62)</f>
        <v>INV-1055</v>
      </c>
      <c r="B62" s="55" t="str">
        <f aca="false">IF('Invoice &amp; Delivery Log'!$A62="","",'Invoice &amp; Delivery Log'!$C62)</f>
        <v>Harborline Logistics</v>
      </c>
      <c r="C62" s="64" t="n">
        <f aca="false">IF('Invoice &amp; Delivery Log'!$A62="","",'Invoice &amp; Delivery Log'!$H62)</f>
        <v>46251</v>
      </c>
      <c r="D62" s="64" t="n">
        <f aca="false">IF('Invoice &amp; Delivery Log'!$A62="","",'Invoice &amp; Delivery Log'!$M62)</f>
        <v>46281</v>
      </c>
      <c r="E62" s="70" t="str">
        <f aca="false">IF('Invoice &amp; Delivery Log'!$A62="","",IF('Invoice &amp; Delivery Log'!$Y62="Yes",'Invoice &amp; Delivery Log'!$P62,""))</f>
        <v/>
      </c>
      <c r="F62" s="47" t="str">
        <f aca="false">IF(OR($E62="",$D62=""),"",$D62-Settings!$C$5)</f>
        <v/>
      </c>
      <c r="G62" s="36" t="str">
        <f aca="false">IF($A62="","",IF($E62="","Closed",IF($F62="","No Due Date",IF($F62&lt;0,"Overdue",IF($F62&lt;=Settings!$C$11,"Due in 0-7 Days",IF($F62&lt;=2*Settings!$C$11,"Due in 8-14 Days",IF($F62&lt;=Settings!$C$12,"Due in 15-30 Days","Due in 31+ Days")))))))</f>
        <v>Closed</v>
      </c>
      <c r="H62" s="29" t="str">
        <f aca="false">IF('Invoice &amp; Delivery Log'!$Z62="","",'Invoice &amp; Delivery Log'!$Z62)</f>
        <v/>
      </c>
      <c r="I62" s="56"/>
      <c r="J62" s="58"/>
      <c r="K62" s="30" t="str">
        <f aca="false">IF($E62="","",ROUND($E62-N($J62),2))</f>
        <v/>
      </c>
      <c r="L62" s="28" t="str">
        <f aca="false">IF($A62="","",IF($E62="","No action needed",IF(AND(N($J62)&gt;0,$I62=""),"Missing planned date",IF(ROUND(N($J62)-$E62,2)&gt;0,"Planned amount exceeds balance",IF(AND($I62&lt;&gt;"",$I62&lt;Settings!$C$5),"Planned date is in the past",IF(N($J62)&lt;=0,"Not planned yet",IF(ROUND($K62,2)&lt;=0,"Fully planned","Partly planned")))))))</f>
        <v>No action needed</v>
      </c>
    </row>
    <row r="63" customFormat="false" ht="15" hidden="false" customHeight="true" outlineLevel="0" collapsed="false">
      <c r="A63" s="65" t="str">
        <f aca="false">IF('Invoice &amp; Delivery Log'!$A63="","",'Invoice &amp; Delivery Log'!$A63)</f>
        <v>INV-1056</v>
      </c>
      <c r="B63" s="59" t="str">
        <f aca="false">IF('Invoice &amp; Delivery Log'!$A63="","",'Invoice &amp; Delivery Log'!$C63)</f>
        <v>Summit Cleaning Services</v>
      </c>
      <c r="C63" s="66" t="n">
        <f aca="false">IF('Invoice &amp; Delivery Log'!$A63="","",'Invoice &amp; Delivery Log'!$H63)</f>
        <v>46250</v>
      </c>
      <c r="D63" s="66" t="n">
        <f aca="false">IF('Invoice &amp; Delivery Log'!$A63="","",'Invoice &amp; Delivery Log'!$M63)</f>
        <v>46264</v>
      </c>
      <c r="E63" s="71" t="str">
        <f aca="false">IF('Invoice &amp; Delivery Log'!$A63="","",IF('Invoice &amp; Delivery Log'!$Y63="Yes",'Invoice &amp; Delivery Log'!$P63,""))</f>
        <v/>
      </c>
      <c r="F63" s="52" t="str">
        <f aca="false">IF(OR($E63="",$D63=""),"",$D63-Settings!$C$5)</f>
        <v/>
      </c>
      <c r="G63" s="53" t="str">
        <f aca="false">IF($A63="","",IF($E63="","Closed",IF($F63="","No Due Date",IF($F63&lt;0,"Overdue",IF($F63&lt;=Settings!$C$11,"Due in 0-7 Days",IF($F63&lt;=2*Settings!$C$11,"Due in 8-14 Days",IF($F63&lt;=Settings!$C$12,"Due in 15-30 Days","Due in 31+ Days")))))))</f>
        <v>Closed</v>
      </c>
      <c r="H63" s="49" t="str">
        <f aca="false">IF('Invoice &amp; Delivery Log'!$Z63="","",'Invoice &amp; Delivery Log'!$Z63)</f>
        <v/>
      </c>
      <c r="I63" s="56"/>
      <c r="J63" s="58"/>
      <c r="K63" s="50" t="str">
        <f aca="false">IF($E63="","",ROUND($E63-N($J63),2))</f>
        <v/>
      </c>
      <c r="L63" s="62" t="str">
        <f aca="false">IF($A63="","",IF($E63="","No action needed",IF(AND(N($J63)&gt;0,$I63=""),"Missing planned date",IF(ROUND(N($J63)-$E63,2)&gt;0,"Planned amount exceeds balance",IF(AND($I63&lt;&gt;"",$I63&lt;Settings!$C$5),"Planned date is in the past",IF(N($J63)&lt;=0,"Not planned yet",IF(ROUND($K63,2)&lt;=0,"Fully planned","Partly planned")))))))</f>
        <v>No action needed</v>
      </c>
    </row>
    <row r="64" customFormat="false" ht="15" hidden="false" customHeight="true" outlineLevel="0" collapsed="false">
      <c r="A64" s="63" t="str">
        <f aca="false">IF('Invoice &amp; Delivery Log'!$A64="","",'Invoice &amp; Delivery Log'!$A64)</f>
        <v>INV-1057</v>
      </c>
      <c r="B64" s="55" t="str">
        <f aca="false">IF('Invoice &amp; Delivery Log'!$A64="","",'Invoice &amp; Delivery Log'!$C64)</f>
        <v>Copperfield Textiles</v>
      </c>
      <c r="C64" s="64" t="n">
        <f aca="false">IF('Invoice &amp; Delivery Log'!$A64="","",'Invoice &amp; Delivery Log'!$H64)</f>
        <v>46263</v>
      </c>
      <c r="D64" s="64" t="n">
        <f aca="false">IF('Invoice &amp; Delivery Log'!$A64="","",'Invoice &amp; Delivery Log'!$M64)</f>
        <v>46323</v>
      </c>
      <c r="E64" s="70" t="n">
        <f aca="false">IF('Invoice &amp; Delivery Log'!$A64="","",IF('Invoice &amp; Delivery Log'!$Y64="Yes",'Invoice &amp; Delivery Log'!$P64,""))</f>
        <v>9418.22</v>
      </c>
      <c r="F64" s="47" t="n">
        <f aca="false">IF(OR($E64="",$D64=""),"",$D64-Settings!$C$5)</f>
        <v>51</v>
      </c>
      <c r="G64" s="36" t="str">
        <f aca="false">IF($A64="","",IF($E64="","Closed",IF($F64="","No Due Date",IF($F64&lt;0,"Overdue",IF($F64&lt;=Settings!$C$11,"Due in 0-7 Days",IF($F64&lt;=2*Settings!$C$11,"Due in 8-14 Days",IF($F64&lt;=Settings!$C$12,"Due in 15-30 Days","Due in 31+ Days")))))))</f>
        <v>Due in 31+ Days</v>
      </c>
      <c r="H64" s="29" t="n">
        <f aca="false">IF('Invoice &amp; Delivery Log'!$Z64="","",'Invoice &amp; Delivery Log'!$Z64)</f>
        <v>18</v>
      </c>
      <c r="I64" s="56"/>
      <c r="J64" s="58"/>
      <c r="K64" s="30" t="n">
        <f aca="false">IF($E64="","",ROUND($E64-N($J64),2))</f>
        <v>9418.22</v>
      </c>
      <c r="L64" s="28" t="str">
        <f aca="false">IF($A64="","",IF($E64="","No action needed",IF(AND(N($J64)&gt;0,$I64=""),"Missing planned date",IF(ROUND(N($J64)-$E64,2)&gt;0,"Planned amount exceeds balance",IF(AND($I64&lt;&gt;"",$I64&lt;Settings!$C$5),"Planned date is in the past",IF(N($J64)&lt;=0,"Not planned yet",IF(ROUND($K64,2)&lt;=0,"Fully planned","Partly planned")))))))</f>
        <v>Not planned yet</v>
      </c>
    </row>
    <row r="65" customFormat="false" ht="15" hidden="false" customHeight="true" outlineLevel="0" collapsed="false">
      <c r="A65" s="65" t="str">
        <f aca="false">IF('Invoice &amp; Delivery Log'!$A65="","",'Invoice &amp; Delivery Log'!$A65)</f>
        <v>INV-1058</v>
      </c>
      <c r="B65" s="59" t="str">
        <f aca="false">IF('Invoice &amp; Delivery Log'!$A65="","",'Invoice &amp; Delivery Log'!$C65)</f>
        <v>Lakeshore Packaging Group</v>
      </c>
      <c r="C65" s="66" t="n">
        <f aca="false">IF('Invoice &amp; Delivery Log'!$A65="","",'Invoice &amp; Delivery Log'!$H65)</f>
        <v>46259</v>
      </c>
      <c r="D65" s="66" t="n">
        <f aca="false">IF('Invoice &amp; Delivery Log'!$A65="","",'Invoice &amp; Delivery Log'!$M65)</f>
        <v>46289</v>
      </c>
      <c r="E65" s="71" t="n">
        <f aca="false">IF('Invoice &amp; Delivery Log'!$A65="","",IF('Invoice &amp; Delivery Log'!$Y65="Yes",'Invoice &amp; Delivery Log'!$P65,""))</f>
        <v>2545.37</v>
      </c>
      <c r="F65" s="52" t="n">
        <f aca="false">IF(OR($E65="",$D65=""),"",$D65-Settings!$C$5)</f>
        <v>17</v>
      </c>
      <c r="G65" s="53" t="str">
        <f aca="false">IF($A65="","",IF($E65="","Closed",IF($F65="","No Due Date",IF($F65&lt;0,"Overdue",IF($F65&lt;=Settings!$C$11,"Due in 0-7 Days",IF($F65&lt;=2*Settings!$C$11,"Due in 8-14 Days",IF($F65&lt;=Settings!$C$12,"Due in 15-30 Days","Due in 31+ Days")))))))</f>
        <v>Due in 15-30 Days</v>
      </c>
      <c r="H65" s="49" t="n">
        <f aca="false">IF('Invoice &amp; Delivery Log'!$Z65="","",'Invoice &amp; Delivery Log'!$Z65)</f>
        <v>15</v>
      </c>
      <c r="I65" s="56"/>
      <c r="J65" s="58"/>
      <c r="K65" s="50" t="n">
        <f aca="false">IF($E65="","",ROUND($E65-N($J65),2))</f>
        <v>2545.37</v>
      </c>
      <c r="L65" s="62" t="str">
        <f aca="false">IF($A65="","",IF($E65="","No action needed",IF(AND(N($J65)&gt;0,$I65=""),"Missing planned date",IF(ROUND(N($J65)-$E65,2)&gt;0,"Planned amount exceeds balance",IF(AND($I65&lt;&gt;"",$I65&lt;Settings!$C$5),"Planned date is in the past",IF(N($J65)&lt;=0,"Not planned yet",IF(ROUND($K65,2)&lt;=0,"Fully planned","Partly planned")))))))</f>
        <v>Not planned yet</v>
      </c>
    </row>
    <row r="66" customFormat="false" ht="15" hidden="false" customHeight="true" outlineLevel="0" collapsed="false">
      <c r="A66" s="63" t="str">
        <f aca="false">IF('Invoice &amp; Delivery Log'!$A66="","",'Invoice &amp; Delivery Log'!$A66)</f>
        <v>INV-1059</v>
      </c>
      <c r="B66" s="55" t="str">
        <f aca="false">IF('Invoice &amp; Delivery Log'!$A66="","",'Invoice &amp; Delivery Log'!$C66)</f>
        <v>Northwind Paper Supply</v>
      </c>
      <c r="C66" s="64" t="n">
        <f aca="false">IF('Invoice &amp; Delivery Log'!$A66="","",'Invoice &amp; Delivery Log'!$H66)</f>
        <v>46267</v>
      </c>
      <c r="D66" s="64" t="n">
        <f aca="false">IF('Invoice &amp; Delivery Log'!$A66="","",'Invoice &amp; Delivery Log'!$M66)</f>
        <v>46297</v>
      </c>
      <c r="E66" s="70" t="n">
        <f aca="false">IF('Invoice &amp; Delivery Log'!$A66="","",IF('Invoice &amp; Delivery Log'!$Y66="Yes",'Invoice &amp; Delivery Log'!$P66,""))</f>
        <v>1086.32</v>
      </c>
      <c r="F66" s="47" t="n">
        <f aca="false">IF(OR($E66="",$D66=""),"",$D66-Settings!$C$5)</f>
        <v>25</v>
      </c>
      <c r="G66" s="36" t="str">
        <f aca="false">IF($A66="","",IF($E66="","Closed",IF($F66="","No Due Date",IF($F66&lt;0,"Overdue",IF($F66&lt;=Settings!$C$11,"Due in 0-7 Days",IF($F66&lt;=2*Settings!$C$11,"Due in 8-14 Days",IF($F66&lt;=Settings!$C$12,"Due in 15-30 Days","Due in 31+ Days")))))))</f>
        <v>Due in 15-30 Days</v>
      </c>
      <c r="H66" s="29" t="n">
        <f aca="false">IF('Invoice &amp; Delivery Log'!$Z66="","",'Invoice &amp; Delivery Log'!$Z66)</f>
        <v>16</v>
      </c>
      <c r="I66" s="56"/>
      <c r="J66" s="58"/>
      <c r="K66" s="30" t="n">
        <f aca="false">IF($E66="","",ROUND($E66-N($J66),2))</f>
        <v>1086.32</v>
      </c>
      <c r="L66" s="28" t="str">
        <f aca="false">IF($A66="","",IF($E66="","No action needed",IF(AND(N($J66)&gt;0,$I66=""),"Missing planned date",IF(ROUND(N($J66)-$E66,2)&gt;0,"Planned amount exceeds balance",IF(AND($I66&lt;&gt;"",$I66&lt;Settings!$C$5),"Planned date is in the past",IF(N($J66)&lt;=0,"Not planned yet",IF(ROUND($K66,2)&lt;=0,"Fully planned","Partly planned")))))))</f>
        <v>Not planned yet</v>
      </c>
    </row>
    <row r="67" customFormat="false" ht="15" hidden="false" customHeight="true" outlineLevel="0" collapsed="false">
      <c r="A67" s="65" t="str">
        <f aca="false">IF('Invoice &amp; Delivery Log'!$A67="","",'Invoice &amp; Delivery Log'!$A67)</f>
        <v>INV-1060</v>
      </c>
      <c r="B67" s="59" t="str">
        <f aca="false">IF('Invoice &amp; Delivery Log'!$A67="","",'Invoice &amp; Delivery Log'!$C67)</f>
        <v>Lakeshore Packaging Group</v>
      </c>
      <c r="C67" s="66" t="n">
        <f aca="false">IF('Invoice &amp; Delivery Log'!$A67="","",'Invoice &amp; Delivery Log'!$H67)</f>
        <v>46271</v>
      </c>
      <c r="D67" s="66" t="n">
        <f aca="false">IF('Invoice &amp; Delivery Log'!$A67="","",'Invoice &amp; Delivery Log'!$M67)</f>
        <v>46301</v>
      </c>
      <c r="E67" s="71" t="n">
        <f aca="false">IF('Invoice &amp; Delivery Log'!$A67="","",IF('Invoice &amp; Delivery Log'!$Y67="Yes",'Invoice &amp; Delivery Log'!$P67,""))</f>
        <v>1791.7</v>
      </c>
      <c r="F67" s="52" t="n">
        <f aca="false">IF(OR($E67="",$D67=""),"",$D67-Settings!$C$5)</f>
        <v>29</v>
      </c>
      <c r="G67" s="53" t="str">
        <f aca="false">IF($A67="","",IF($E67="","Closed",IF($F67="","No Due Date",IF($F67&lt;0,"Overdue",IF($F67&lt;=Settings!$C$11,"Due in 0-7 Days",IF($F67&lt;=2*Settings!$C$11,"Due in 8-14 Days",IF($F67&lt;=Settings!$C$12,"Due in 15-30 Days","Due in 31+ Days")))))))</f>
        <v>Due in 15-30 Days</v>
      </c>
      <c r="H67" s="49" t="n">
        <f aca="false">IF('Invoice &amp; Delivery Log'!$Z67="","",'Invoice &amp; Delivery Log'!$Z67)</f>
        <v>17</v>
      </c>
      <c r="I67" s="56"/>
      <c r="J67" s="58"/>
      <c r="K67" s="50" t="n">
        <f aca="false">IF($E67="","",ROUND($E67-N($J67),2))</f>
        <v>1791.7</v>
      </c>
      <c r="L67" s="62" t="str">
        <f aca="false">IF($A67="","",IF($E67="","No action needed",IF(AND(N($J67)&gt;0,$I67=""),"Missing planned date",IF(ROUND(N($J67)-$E67,2)&gt;0,"Planned amount exceeds balance",IF(AND($I67&lt;&gt;"",$I67&lt;Settings!$C$5),"Planned date is in the past",IF(N($J67)&lt;=0,"Not planned yet",IF(ROUND($K67,2)&lt;=0,"Fully planned","Partly planned")))))))</f>
        <v>Not planned yet</v>
      </c>
    </row>
    <row r="68" customFormat="false" ht="15" hidden="false" customHeight="true" outlineLevel="0" collapsed="false">
      <c r="A68" s="63" t="str">
        <f aca="false">IF('Invoice &amp; Delivery Log'!$A68="","",'Invoice &amp; Delivery Log'!$A68)</f>
        <v/>
      </c>
      <c r="B68" s="55" t="str">
        <f aca="false">IF('Invoice &amp; Delivery Log'!$A68="","",'Invoice &amp; Delivery Log'!$C68)</f>
        <v/>
      </c>
      <c r="C68" s="64" t="str">
        <f aca="false">IF('Invoice &amp; Delivery Log'!$A68="","",'Invoice &amp; Delivery Log'!$H68)</f>
        <v/>
      </c>
      <c r="D68" s="64" t="str">
        <f aca="false">IF('Invoice &amp; Delivery Log'!$A68="","",'Invoice &amp; Delivery Log'!$M68)</f>
        <v/>
      </c>
      <c r="E68" s="70" t="str">
        <f aca="false">IF('Invoice &amp; Delivery Log'!$A68="","",IF('Invoice &amp; Delivery Log'!$Y68="Yes",'Invoice &amp; Delivery Log'!$P68,""))</f>
        <v/>
      </c>
      <c r="F68" s="47" t="str">
        <f aca="false">IF(OR($E68="",$D68=""),"",$D68-Settings!$C$5)</f>
        <v/>
      </c>
      <c r="G68" s="36" t="str">
        <f aca="false">IF($A68="","",IF($E68="","Closed",IF($F68="","No Due Date",IF($F68&lt;0,"Overdue",IF($F68&lt;=Settings!$C$11,"Due in 0-7 Days",IF($F68&lt;=2*Settings!$C$11,"Due in 8-14 Days",IF($F68&lt;=Settings!$C$12,"Due in 15-30 Days","Due in 31+ Days")))))))</f>
        <v/>
      </c>
      <c r="H68" s="29" t="str">
        <f aca="false">IF('Invoice &amp; Delivery Log'!$Z68="","",'Invoice &amp; Delivery Log'!$Z68)</f>
        <v/>
      </c>
      <c r="I68" s="56"/>
      <c r="J68" s="58"/>
      <c r="K68" s="30" t="str">
        <f aca="false">IF($E68="","",ROUND($E68-N($J68),2))</f>
        <v/>
      </c>
      <c r="L68" s="28" t="str">
        <f aca="false">IF($A68="","",IF($E68="","No action needed",IF(AND(N($J68)&gt;0,$I68=""),"Missing planned date",IF(ROUND(N($J68)-$E68,2)&gt;0,"Planned amount exceeds balance",IF(AND($I68&lt;&gt;"",$I68&lt;Settings!$C$5),"Planned date is in the past",IF(N($J68)&lt;=0,"Not planned yet",IF(ROUND($K68,2)&lt;=0,"Fully planned","Partly planned")))))))</f>
        <v/>
      </c>
    </row>
    <row r="69" customFormat="false" ht="15" hidden="false" customHeight="true" outlineLevel="0" collapsed="false">
      <c r="A69" s="65" t="str">
        <f aca="false">IF('Invoice &amp; Delivery Log'!$A69="","",'Invoice &amp; Delivery Log'!$A69)</f>
        <v/>
      </c>
      <c r="B69" s="59" t="str">
        <f aca="false">IF('Invoice &amp; Delivery Log'!$A69="","",'Invoice &amp; Delivery Log'!$C69)</f>
        <v/>
      </c>
      <c r="C69" s="66" t="str">
        <f aca="false">IF('Invoice &amp; Delivery Log'!$A69="","",'Invoice &amp; Delivery Log'!$H69)</f>
        <v/>
      </c>
      <c r="D69" s="66" t="str">
        <f aca="false">IF('Invoice &amp; Delivery Log'!$A69="","",'Invoice &amp; Delivery Log'!$M69)</f>
        <v/>
      </c>
      <c r="E69" s="71" t="str">
        <f aca="false">IF('Invoice &amp; Delivery Log'!$A69="","",IF('Invoice &amp; Delivery Log'!$Y69="Yes",'Invoice &amp; Delivery Log'!$P69,""))</f>
        <v/>
      </c>
      <c r="F69" s="52" t="str">
        <f aca="false">IF(OR($E69="",$D69=""),"",$D69-Settings!$C$5)</f>
        <v/>
      </c>
      <c r="G69" s="53" t="str">
        <f aca="false">IF($A69="","",IF($E69="","Closed",IF($F69="","No Due Date",IF($F69&lt;0,"Overdue",IF($F69&lt;=Settings!$C$11,"Due in 0-7 Days",IF($F69&lt;=2*Settings!$C$11,"Due in 8-14 Days",IF($F69&lt;=Settings!$C$12,"Due in 15-30 Days","Due in 31+ Days")))))))</f>
        <v/>
      </c>
      <c r="H69" s="49" t="str">
        <f aca="false">IF('Invoice &amp; Delivery Log'!$Z69="","",'Invoice &amp; Delivery Log'!$Z69)</f>
        <v/>
      </c>
      <c r="I69" s="56"/>
      <c r="J69" s="58"/>
      <c r="K69" s="50" t="str">
        <f aca="false">IF($E69="","",ROUND($E69-N($J69),2))</f>
        <v/>
      </c>
      <c r="L69" s="62" t="str">
        <f aca="false">IF($A69="","",IF($E69="","No action needed",IF(AND(N($J69)&gt;0,$I69=""),"Missing planned date",IF(ROUND(N($J69)-$E69,2)&gt;0,"Planned amount exceeds balance",IF(AND($I69&lt;&gt;"",$I69&lt;Settings!$C$5),"Planned date is in the past",IF(N($J69)&lt;=0,"Not planned yet",IF(ROUND($K69,2)&lt;=0,"Fully planned","Partly planned")))))))</f>
        <v/>
      </c>
    </row>
    <row r="70" customFormat="false" ht="15" hidden="false" customHeight="true" outlineLevel="0" collapsed="false">
      <c r="A70" s="63" t="str">
        <f aca="false">IF('Invoice &amp; Delivery Log'!$A70="","",'Invoice &amp; Delivery Log'!$A70)</f>
        <v/>
      </c>
      <c r="B70" s="55" t="str">
        <f aca="false">IF('Invoice &amp; Delivery Log'!$A70="","",'Invoice &amp; Delivery Log'!$C70)</f>
        <v/>
      </c>
      <c r="C70" s="64" t="str">
        <f aca="false">IF('Invoice &amp; Delivery Log'!$A70="","",'Invoice &amp; Delivery Log'!$H70)</f>
        <v/>
      </c>
      <c r="D70" s="64" t="str">
        <f aca="false">IF('Invoice &amp; Delivery Log'!$A70="","",'Invoice &amp; Delivery Log'!$M70)</f>
        <v/>
      </c>
      <c r="E70" s="70" t="str">
        <f aca="false">IF('Invoice &amp; Delivery Log'!$A70="","",IF('Invoice &amp; Delivery Log'!$Y70="Yes",'Invoice &amp; Delivery Log'!$P70,""))</f>
        <v/>
      </c>
      <c r="F70" s="47" t="str">
        <f aca="false">IF(OR($E70="",$D70=""),"",$D70-Settings!$C$5)</f>
        <v/>
      </c>
      <c r="G70" s="36" t="str">
        <f aca="false">IF($A70="","",IF($E70="","Closed",IF($F70="","No Due Date",IF($F70&lt;0,"Overdue",IF($F70&lt;=Settings!$C$11,"Due in 0-7 Days",IF($F70&lt;=2*Settings!$C$11,"Due in 8-14 Days",IF($F70&lt;=Settings!$C$12,"Due in 15-30 Days","Due in 31+ Days")))))))</f>
        <v/>
      </c>
      <c r="H70" s="29" t="str">
        <f aca="false">IF('Invoice &amp; Delivery Log'!$Z70="","",'Invoice &amp; Delivery Log'!$Z70)</f>
        <v/>
      </c>
      <c r="I70" s="56"/>
      <c r="J70" s="58"/>
      <c r="K70" s="30" t="str">
        <f aca="false">IF($E70="","",ROUND($E70-N($J70),2))</f>
        <v/>
      </c>
      <c r="L70" s="28" t="str">
        <f aca="false">IF($A70="","",IF($E70="","No action needed",IF(AND(N($J70)&gt;0,$I70=""),"Missing planned date",IF(ROUND(N($J70)-$E70,2)&gt;0,"Planned amount exceeds balance",IF(AND($I70&lt;&gt;"",$I70&lt;Settings!$C$5),"Planned date is in the past",IF(N($J70)&lt;=0,"Not planned yet",IF(ROUND($K70,2)&lt;=0,"Fully planned","Partly planned")))))))</f>
        <v/>
      </c>
    </row>
    <row r="71" customFormat="false" ht="15" hidden="false" customHeight="true" outlineLevel="0" collapsed="false">
      <c r="A71" s="65" t="str">
        <f aca="false">IF('Invoice &amp; Delivery Log'!$A71="","",'Invoice &amp; Delivery Log'!$A71)</f>
        <v/>
      </c>
      <c r="B71" s="59" t="str">
        <f aca="false">IF('Invoice &amp; Delivery Log'!$A71="","",'Invoice &amp; Delivery Log'!$C71)</f>
        <v/>
      </c>
      <c r="C71" s="66" t="str">
        <f aca="false">IF('Invoice &amp; Delivery Log'!$A71="","",'Invoice &amp; Delivery Log'!$H71)</f>
        <v/>
      </c>
      <c r="D71" s="66" t="str">
        <f aca="false">IF('Invoice &amp; Delivery Log'!$A71="","",'Invoice &amp; Delivery Log'!$M71)</f>
        <v/>
      </c>
      <c r="E71" s="71" t="str">
        <f aca="false">IF('Invoice &amp; Delivery Log'!$A71="","",IF('Invoice &amp; Delivery Log'!$Y71="Yes",'Invoice &amp; Delivery Log'!$P71,""))</f>
        <v/>
      </c>
      <c r="F71" s="52" t="str">
        <f aca="false">IF(OR($E71="",$D71=""),"",$D71-Settings!$C$5)</f>
        <v/>
      </c>
      <c r="G71" s="53" t="str">
        <f aca="false">IF($A71="","",IF($E71="","Closed",IF($F71="","No Due Date",IF($F71&lt;0,"Overdue",IF($F71&lt;=Settings!$C$11,"Due in 0-7 Days",IF($F71&lt;=2*Settings!$C$11,"Due in 8-14 Days",IF($F71&lt;=Settings!$C$12,"Due in 15-30 Days","Due in 31+ Days")))))))</f>
        <v/>
      </c>
      <c r="H71" s="49" t="str">
        <f aca="false">IF('Invoice &amp; Delivery Log'!$Z71="","",'Invoice &amp; Delivery Log'!$Z71)</f>
        <v/>
      </c>
      <c r="I71" s="56"/>
      <c r="J71" s="58"/>
      <c r="K71" s="50" t="str">
        <f aca="false">IF($E71="","",ROUND($E71-N($J71),2))</f>
        <v/>
      </c>
      <c r="L71" s="62" t="str">
        <f aca="false">IF($A71="","",IF($E71="","No action needed",IF(AND(N($J71)&gt;0,$I71=""),"Missing planned date",IF(ROUND(N($J71)-$E71,2)&gt;0,"Planned amount exceeds balance",IF(AND($I71&lt;&gt;"",$I71&lt;Settings!$C$5),"Planned date is in the past",IF(N($J71)&lt;=0,"Not planned yet",IF(ROUND($K71,2)&lt;=0,"Fully planned","Partly planned")))))))</f>
        <v/>
      </c>
    </row>
    <row r="72" customFormat="false" ht="15" hidden="false" customHeight="true" outlineLevel="0" collapsed="false">
      <c r="A72" s="63" t="str">
        <f aca="false">IF('Invoice &amp; Delivery Log'!$A72="","",'Invoice &amp; Delivery Log'!$A72)</f>
        <v/>
      </c>
      <c r="B72" s="55" t="str">
        <f aca="false">IF('Invoice &amp; Delivery Log'!$A72="","",'Invoice &amp; Delivery Log'!$C72)</f>
        <v/>
      </c>
      <c r="C72" s="64" t="str">
        <f aca="false">IF('Invoice &amp; Delivery Log'!$A72="","",'Invoice &amp; Delivery Log'!$H72)</f>
        <v/>
      </c>
      <c r="D72" s="64" t="str">
        <f aca="false">IF('Invoice &amp; Delivery Log'!$A72="","",'Invoice &amp; Delivery Log'!$M72)</f>
        <v/>
      </c>
      <c r="E72" s="70" t="str">
        <f aca="false">IF('Invoice &amp; Delivery Log'!$A72="","",IF('Invoice &amp; Delivery Log'!$Y72="Yes",'Invoice &amp; Delivery Log'!$P72,""))</f>
        <v/>
      </c>
      <c r="F72" s="47" t="str">
        <f aca="false">IF(OR($E72="",$D72=""),"",$D72-Settings!$C$5)</f>
        <v/>
      </c>
      <c r="G72" s="36" t="str">
        <f aca="false">IF($A72="","",IF($E72="","Closed",IF($F72="","No Due Date",IF($F72&lt;0,"Overdue",IF($F72&lt;=Settings!$C$11,"Due in 0-7 Days",IF($F72&lt;=2*Settings!$C$11,"Due in 8-14 Days",IF($F72&lt;=Settings!$C$12,"Due in 15-30 Days","Due in 31+ Days")))))))</f>
        <v/>
      </c>
      <c r="H72" s="29" t="str">
        <f aca="false">IF('Invoice &amp; Delivery Log'!$Z72="","",'Invoice &amp; Delivery Log'!$Z72)</f>
        <v/>
      </c>
      <c r="I72" s="56"/>
      <c r="J72" s="58"/>
      <c r="K72" s="30" t="str">
        <f aca="false">IF($E72="","",ROUND($E72-N($J72),2))</f>
        <v/>
      </c>
      <c r="L72" s="28" t="str">
        <f aca="false">IF($A72="","",IF($E72="","No action needed",IF(AND(N($J72)&gt;0,$I72=""),"Missing planned date",IF(ROUND(N($J72)-$E72,2)&gt;0,"Planned amount exceeds balance",IF(AND($I72&lt;&gt;"",$I72&lt;Settings!$C$5),"Planned date is in the past",IF(N($J72)&lt;=0,"Not planned yet",IF(ROUND($K72,2)&lt;=0,"Fully planned","Partly planned")))))))</f>
        <v/>
      </c>
    </row>
    <row r="73" customFormat="false" ht="15" hidden="false" customHeight="true" outlineLevel="0" collapsed="false">
      <c r="A73" s="65" t="str">
        <f aca="false">IF('Invoice &amp; Delivery Log'!$A73="","",'Invoice &amp; Delivery Log'!$A73)</f>
        <v/>
      </c>
      <c r="B73" s="59" t="str">
        <f aca="false">IF('Invoice &amp; Delivery Log'!$A73="","",'Invoice &amp; Delivery Log'!$C73)</f>
        <v/>
      </c>
      <c r="C73" s="66" t="str">
        <f aca="false">IF('Invoice &amp; Delivery Log'!$A73="","",'Invoice &amp; Delivery Log'!$H73)</f>
        <v/>
      </c>
      <c r="D73" s="66" t="str">
        <f aca="false">IF('Invoice &amp; Delivery Log'!$A73="","",'Invoice &amp; Delivery Log'!$M73)</f>
        <v/>
      </c>
      <c r="E73" s="71" t="str">
        <f aca="false">IF('Invoice &amp; Delivery Log'!$A73="","",IF('Invoice &amp; Delivery Log'!$Y73="Yes",'Invoice &amp; Delivery Log'!$P73,""))</f>
        <v/>
      </c>
      <c r="F73" s="52" t="str">
        <f aca="false">IF(OR($E73="",$D73=""),"",$D73-Settings!$C$5)</f>
        <v/>
      </c>
      <c r="G73" s="53" t="str">
        <f aca="false">IF($A73="","",IF($E73="","Closed",IF($F73="","No Due Date",IF($F73&lt;0,"Overdue",IF($F73&lt;=Settings!$C$11,"Due in 0-7 Days",IF($F73&lt;=2*Settings!$C$11,"Due in 8-14 Days",IF($F73&lt;=Settings!$C$12,"Due in 15-30 Days","Due in 31+ Days")))))))</f>
        <v/>
      </c>
      <c r="H73" s="49" t="str">
        <f aca="false">IF('Invoice &amp; Delivery Log'!$Z73="","",'Invoice &amp; Delivery Log'!$Z73)</f>
        <v/>
      </c>
      <c r="I73" s="56"/>
      <c r="J73" s="58"/>
      <c r="K73" s="50" t="str">
        <f aca="false">IF($E73="","",ROUND($E73-N($J73),2))</f>
        <v/>
      </c>
      <c r="L73" s="62" t="str">
        <f aca="false">IF($A73="","",IF($E73="","No action needed",IF(AND(N($J73)&gt;0,$I73=""),"Missing planned date",IF(ROUND(N($J73)-$E73,2)&gt;0,"Planned amount exceeds balance",IF(AND($I73&lt;&gt;"",$I73&lt;Settings!$C$5),"Planned date is in the past",IF(N($J73)&lt;=0,"Not planned yet",IF(ROUND($K73,2)&lt;=0,"Fully planned","Partly planned")))))))</f>
        <v/>
      </c>
    </row>
    <row r="74" customFormat="false" ht="15" hidden="false" customHeight="true" outlineLevel="0" collapsed="false">
      <c r="A74" s="63" t="str">
        <f aca="false">IF('Invoice &amp; Delivery Log'!$A74="","",'Invoice &amp; Delivery Log'!$A74)</f>
        <v/>
      </c>
      <c r="B74" s="55" t="str">
        <f aca="false">IF('Invoice &amp; Delivery Log'!$A74="","",'Invoice &amp; Delivery Log'!$C74)</f>
        <v/>
      </c>
      <c r="C74" s="64" t="str">
        <f aca="false">IF('Invoice &amp; Delivery Log'!$A74="","",'Invoice &amp; Delivery Log'!$H74)</f>
        <v/>
      </c>
      <c r="D74" s="64" t="str">
        <f aca="false">IF('Invoice &amp; Delivery Log'!$A74="","",'Invoice &amp; Delivery Log'!$M74)</f>
        <v/>
      </c>
      <c r="E74" s="70" t="str">
        <f aca="false">IF('Invoice &amp; Delivery Log'!$A74="","",IF('Invoice &amp; Delivery Log'!$Y74="Yes",'Invoice &amp; Delivery Log'!$P74,""))</f>
        <v/>
      </c>
      <c r="F74" s="47" t="str">
        <f aca="false">IF(OR($E74="",$D74=""),"",$D74-Settings!$C$5)</f>
        <v/>
      </c>
      <c r="G74" s="36" t="str">
        <f aca="false">IF($A74="","",IF($E74="","Closed",IF($F74="","No Due Date",IF($F74&lt;0,"Overdue",IF($F74&lt;=Settings!$C$11,"Due in 0-7 Days",IF($F74&lt;=2*Settings!$C$11,"Due in 8-14 Days",IF($F74&lt;=Settings!$C$12,"Due in 15-30 Days","Due in 31+ Days")))))))</f>
        <v/>
      </c>
      <c r="H74" s="29" t="str">
        <f aca="false">IF('Invoice &amp; Delivery Log'!$Z74="","",'Invoice &amp; Delivery Log'!$Z74)</f>
        <v/>
      </c>
      <c r="I74" s="56"/>
      <c r="J74" s="58"/>
      <c r="K74" s="30" t="str">
        <f aca="false">IF($E74="","",ROUND($E74-N($J74),2))</f>
        <v/>
      </c>
      <c r="L74" s="28" t="str">
        <f aca="false">IF($A74="","",IF($E74="","No action needed",IF(AND(N($J74)&gt;0,$I74=""),"Missing planned date",IF(ROUND(N($J74)-$E74,2)&gt;0,"Planned amount exceeds balance",IF(AND($I74&lt;&gt;"",$I74&lt;Settings!$C$5),"Planned date is in the past",IF(N($J74)&lt;=0,"Not planned yet",IF(ROUND($K74,2)&lt;=0,"Fully planned","Partly planned")))))))</f>
        <v/>
      </c>
    </row>
    <row r="75" customFormat="false" ht="15" hidden="false" customHeight="true" outlineLevel="0" collapsed="false">
      <c r="A75" s="65" t="str">
        <f aca="false">IF('Invoice &amp; Delivery Log'!$A75="","",'Invoice &amp; Delivery Log'!$A75)</f>
        <v/>
      </c>
      <c r="B75" s="59" t="str">
        <f aca="false">IF('Invoice &amp; Delivery Log'!$A75="","",'Invoice &amp; Delivery Log'!$C75)</f>
        <v/>
      </c>
      <c r="C75" s="66" t="str">
        <f aca="false">IF('Invoice &amp; Delivery Log'!$A75="","",'Invoice &amp; Delivery Log'!$H75)</f>
        <v/>
      </c>
      <c r="D75" s="66" t="str">
        <f aca="false">IF('Invoice &amp; Delivery Log'!$A75="","",'Invoice &amp; Delivery Log'!$M75)</f>
        <v/>
      </c>
      <c r="E75" s="71" t="str">
        <f aca="false">IF('Invoice &amp; Delivery Log'!$A75="","",IF('Invoice &amp; Delivery Log'!$Y75="Yes",'Invoice &amp; Delivery Log'!$P75,""))</f>
        <v/>
      </c>
      <c r="F75" s="52" t="str">
        <f aca="false">IF(OR($E75="",$D75=""),"",$D75-Settings!$C$5)</f>
        <v/>
      </c>
      <c r="G75" s="53" t="str">
        <f aca="false">IF($A75="","",IF($E75="","Closed",IF($F75="","No Due Date",IF($F75&lt;0,"Overdue",IF($F75&lt;=Settings!$C$11,"Due in 0-7 Days",IF($F75&lt;=2*Settings!$C$11,"Due in 8-14 Days",IF($F75&lt;=Settings!$C$12,"Due in 15-30 Days","Due in 31+ Days")))))))</f>
        <v/>
      </c>
      <c r="H75" s="49" t="str">
        <f aca="false">IF('Invoice &amp; Delivery Log'!$Z75="","",'Invoice &amp; Delivery Log'!$Z75)</f>
        <v/>
      </c>
      <c r="I75" s="56"/>
      <c r="J75" s="58"/>
      <c r="K75" s="50" t="str">
        <f aca="false">IF($E75="","",ROUND($E75-N($J75),2))</f>
        <v/>
      </c>
      <c r="L75" s="62" t="str">
        <f aca="false">IF($A75="","",IF($E75="","No action needed",IF(AND(N($J75)&gt;0,$I75=""),"Missing planned date",IF(ROUND(N($J75)-$E75,2)&gt;0,"Planned amount exceeds balance",IF(AND($I75&lt;&gt;"",$I75&lt;Settings!$C$5),"Planned date is in the past",IF(N($J75)&lt;=0,"Not planned yet",IF(ROUND($K75,2)&lt;=0,"Fully planned","Partly planned")))))))</f>
        <v/>
      </c>
    </row>
    <row r="76" customFormat="false" ht="15" hidden="false" customHeight="true" outlineLevel="0" collapsed="false">
      <c r="A76" s="63" t="str">
        <f aca="false">IF('Invoice &amp; Delivery Log'!$A76="","",'Invoice &amp; Delivery Log'!$A76)</f>
        <v/>
      </c>
      <c r="B76" s="55" t="str">
        <f aca="false">IF('Invoice &amp; Delivery Log'!$A76="","",'Invoice &amp; Delivery Log'!$C76)</f>
        <v/>
      </c>
      <c r="C76" s="64" t="str">
        <f aca="false">IF('Invoice &amp; Delivery Log'!$A76="","",'Invoice &amp; Delivery Log'!$H76)</f>
        <v/>
      </c>
      <c r="D76" s="64" t="str">
        <f aca="false">IF('Invoice &amp; Delivery Log'!$A76="","",'Invoice &amp; Delivery Log'!$M76)</f>
        <v/>
      </c>
      <c r="E76" s="70" t="str">
        <f aca="false">IF('Invoice &amp; Delivery Log'!$A76="","",IF('Invoice &amp; Delivery Log'!$Y76="Yes",'Invoice &amp; Delivery Log'!$P76,""))</f>
        <v/>
      </c>
      <c r="F76" s="47" t="str">
        <f aca="false">IF(OR($E76="",$D76=""),"",$D76-Settings!$C$5)</f>
        <v/>
      </c>
      <c r="G76" s="36" t="str">
        <f aca="false">IF($A76="","",IF($E76="","Closed",IF($F76="","No Due Date",IF($F76&lt;0,"Overdue",IF($F76&lt;=Settings!$C$11,"Due in 0-7 Days",IF($F76&lt;=2*Settings!$C$11,"Due in 8-14 Days",IF($F76&lt;=Settings!$C$12,"Due in 15-30 Days","Due in 31+ Days")))))))</f>
        <v/>
      </c>
      <c r="H76" s="29" t="str">
        <f aca="false">IF('Invoice &amp; Delivery Log'!$Z76="","",'Invoice &amp; Delivery Log'!$Z76)</f>
        <v/>
      </c>
      <c r="I76" s="56"/>
      <c r="J76" s="58"/>
      <c r="K76" s="30" t="str">
        <f aca="false">IF($E76="","",ROUND($E76-N($J76),2))</f>
        <v/>
      </c>
      <c r="L76" s="28" t="str">
        <f aca="false">IF($A76="","",IF($E76="","No action needed",IF(AND(N($J76)&gt;0,$I76=""),"Missing planned date",IF(ROUND(N($J76)-$E76,2)&gt;0,"Planned amount exceeds balance",IF(AND($I76&lt;&gt;"",$I76&lt;Settings!$C$5),"Planned date is in the past",IF(N($J76)&lt;=0,"Not planned yet",IF(ROUND($K76,2)&lt;=0,"Fully planned","Partly planned")))))))</f>
        <v/>
      </c>
    </row>
    <row r="77" customFormat="false" ht="15" hidden="false" customHeight="true" outlineLevel="0" collapsed="false">
      <c r="A77" s="65" t="str">
        <f aca="false">IF('Invoice &amp; Delivery Log'!$A77="","",'Invoice &amp; Delivery Log'!$A77)</f>
        <v/>
      </c>
      <c r="B77" s="59" t="str">
        <f aca="false">IF('Invoice &amp; Delivery Log'!$A77="","",'Invoice &amp; Delivery Log'!$C77)</f>
        <v/>
      </c>
      <c r="C77" s="66" t="str">
        <f aca="false">IF('Invoice &amp; Delivery Log'!$A77="","",'Invoice &amp; Delivery Log'!$H77)</f>
        <v/>
      </c>
      <c r="D77" s="66" t="str">
        <f aca="false">IF('Invoice &amp; Delivery Log'!$A77="","",'Invoice &amp; Delivery Log'!$M77)</f>
        <v/>
      </c>
      <c r="E77" s="71" t="str">
        <f aca="false">IF('Invoice &amp; Delivery Log'!$A77="","",IF('Invoice &amp; Delivery Log'!$Y77="Yes",'Invoice &amp; Delivery Log'!$P77,""))</f>
        <v/>
      </c>
      <c r="F77" s="52" t="str">
        <f aca="false">IF(OR($E77="",$D77=""),"",$D77-Settings!$C$5)</f>
        <v/>
      </c>
      <c r="G77" s="53" t="str">
        <f aca="false">IF($A77="","",IF($E77="","Closed",IF($F77="","No Due Date",IF($F77&lt;0,"Overdue",IF($F77&lt;=Settings!$C$11,"Due in 0-7 Days",IF($F77&lt;=2*Settings!$C$11,"Due in 8-14 Days",IF($F77&lt;=Settings!$C$12,"Due in 15-30 Days","Due in 31+ Days")))))))</f>
        <v/>
      </c>
      <c r="H77" s="49" t="str">
        <f aca="false">IF('Invoice &amp; Delivery Log'!$Z77="","",'Invoice &amp; Delivery Log'!$Z77)</f>
        <v/>
      </c>
      <c r="I77" s="56"/>
      <c r="J77" s="58"/>
      <c r="K77" s="50" t="str">
        <f aca="false">IF($E77="","",ROUND($E77-N($J77),2))</f>
        <v/>
      </c>
      <c r="L77" s="62" t="str">
        <f aca="false">IF($A77="","",IF($E77="","No action needed",IF(AND(N($J77)&gt;0,$I77=""),"Missing planned date",IF(ROUND(N($J77)-$E77,2)&gt;0,"Planned amount exceeds balance",IF(AND($I77&lt;&gt;"",$I77&lt;Settings!$C$5),"Planned date is in the past",IF(N($J77)&lt;=0,"Not planned yet",IF(ROUND($K77,2)&lt;=0,"Fully planned","Partly planned")))))))</f>
        <v/>
      </c>
    </row>
    <row r="78" customFormat="false" ht="15" hidden="false" customHeight="true" outlineLevel="0" collapsed="false">
      <c r="A78" s="63" t="str">
        <f aca="false">IF('Invoice &amp; Delivery Log'!$A78="","",'Invoice &amp; Delivery Log'!$A78)</f>
        <v/>
      </c>
      <c r="B78" s="55" t="str">
        <f aca="false">IF('Invoice &amp; Delivery Log'!$A78="","",'Invoice &amp; Delivery Log'!$C78)</f>
        <v/>
      </c>
      <c r="C78" s="64" t="str">
        <f aca="false">IF('Invoice &amp; Delivery Log'!$A78="","",'Invoice &amp; Delivery Log'!$H78)</f>
        <v/>
      </c>
      <c r="D78" s="64" t="str">
        <f aca="false">IF('Invoice &amp; Delivery Log'!$A78="","",'Invoice &amp; Delivery Log'!$M78)</f>
        <v/>
      </c>
      <c r="E78" s="70" t="str">
        <f aca="false">IF('Invoice &amp; Delivery Log'!$A78="","",IF('Invoice &amp; Delivery Log'!$Y78="Yes",'Invoice &amp; Delivery Log'!$P78,""))</f>
        <v/>
      </c>
      <c r="F78" s="47" t="str">
        <f aca="false">IF(OR($E78="",$D78=""),"",$D78-Settings!$C$5)</f>
        <v/>
      </c>
      <c r="G78" s="36" t="str">
        <f aca="false">IF($A78="","",IF($E78="","Closed",IF($F78="","No Due Date",IF($F78&lt;0,"Overdue",IF($F78&lt;=Settings!$C$11,"Due in 0-7 Days",IF($F78&lt;=2*Settings!$C$11,"Due in 8-14 Days",IF($F78&lt;=Settings!$C$12,"Due in 15-30 Days","Due in 31+ Days")))))))</f>
        <v/>
      </c>
      <c r="H78" s="29" t="str">
        <f aca="false">IF('Invoice &amp; Delivery Log'!$Z78="","",'Invoice &amp; Delivery Log'!$Z78)</f>
        <v/>
      </c>
      <c r="I78" s="56"/>
      <c r="J78" s="58"/>
      <c r="K78" s="30" t="str">
        <f aca="false">IF($E78="","",ROUND($E78-N($J78),2))</f>
        <v/>
      </c>
      <c r="L78" s="28" t="str">
        <f aca="false">IF($A78="","",IF($E78="","No action needed",IF(AND(N($J78)&gt;0,$I78=""),"Missing planned date",IF(ROUND(N($J78)-$E78,2)&gt;0,"Planned amount exceeds balance",IF(AND($I78&lt;&gt;"",$I78&lt;Settings!$C$5),"Planned date is in the past",IF(N($J78)&lt;=0,"Not planned yet",IF(ROUND($K78,2)&lt;=0,"Fully planned","Partly planned")))))))</f>
        <v/>
      </c>
    </row>
    <row r="79" customFormat="false" ht="15" hidden="false" customHeight="true" outlineLevel="0" collapsed="false">
      <c r="A79" s="65" t="str">
        <f aca="false">IF('Invoice &amp; Delivery Log'!$A79="","",'Invoice &amp; Delivery Log'!$A79)</f>
        <v/>
      </c>
      <c r="B79" s="59" t="str">
        <f aca="false">IF('Invoice &amp; Delivery Log'!$A79="","",'Invoice &amp; Delivery Log'!$C79)</f>
        <v/>
      </c>
      <c r="C79" s="66" t="str">
        <f aca="false">IF('Invoice &amp; Delivery Log'!$A79="","",'Invoice &amp; Delivery Log'!$H79)</f>
        <v/>
      </c>
      <c r="D79" s="66" t="str">
        <f aca="false">IF('Invoice &amp; Delivery Log'!$A79="","",'Invoice &amp; Delivery Log'!$M79)</f>
        <v/>
      </c>
      <c r="E79" s="71" t="str">
        <f aca="false">IF('Invoice &amp; Delivery Log'!$A79="","",IF('Invoice &amp; Delivery Log'!$Y79="Yes",'Invoice &amp; Delivery Log'!$P79,""))</f>
        <v/>
      </c>
      <c r="F79" s="52" t="str">
        <f aca="false">IF(OR($E79="",$D79=""),"",$D79-Settings!$C$5)</f>
        <v/>
      </c>
      <c r="G79" s="53" t="str">
        <f aca="false">IF($A79="","",IF($E79="","Closed",IF($F79="","No Due Date",IF($F79&lt;0,"Overdue",IF($F79&lt;=Settings!$C$11,"Due in 0-7 Days",IF($F79&lt;=2*Settings!$C$11,"Due in 8-14 Days",IF($F79&lt;=Settings!$C$12,"Due in 15-30 Days","Due in 31+ Days")))))))</f>
        <v/>
      </c>
      <c r="H79" s="49" t="str">
        <f aca="false">IF('Invoice &amp; Delivery Log'!$Z79="","",'Invoice &amp; Delivery Log'!$Z79)</f>
        <v/>
      </c>
      <c r="I79" s="56"/>
      <c r="J79" s="58"/>
      <c r="K79" s="50" t="str">
        <f aca="false">IF($E79="","",ROUND($E79-N($J79),2))</f>
        <v/>
      </c>
      <c r="L79" s="62" t="str">
        <f aca="false">IF($A79="","",IF($E79="","No action needed",IF(AND(N($J79)&gt;0,$I79=""),"Missing planned date",IF(ROUND(N($J79)-$E79,2)&gt;0,"Planned amount exceeds balance",IF(AND($I79&lt;&gt;"",$I79&lt;Settings!$C$5),"Planned date is in the past",IF(N($J79)&lt;=0,"Not planned yet",IF(ROUND($K79,2)&lt;=0,"Fully planned","Partly planned")))))))</f>
        <v/>
      </c>
    </row>
    <row r="80" customFormat="false" ht="15" hidden="false" customHeight="true" outlineLevel="0" collapsed="false">
      <c r="A80" s="63" t="str">
        <f aca="false">IF('Invoice &amp; Delivery Log'!$A80="","",'Invoice &amp; Delivery Log'!$A80)</f>
        <v/>
      </c>
      <c r="B80" s="55" t="str">
        <f aca="false">IF('Invoice &amp; Delivery Log'!$A80="","",'Invoice &amp; Delivery Log'!$C80)</f>
        <v/>
      </c>
      <c r="C80" s="64" t="str">
        <f aca="false">IF('Invoice &amp; Delivery Log'!$A80="","",'Invoice &amp; Delivery Log'!$H80)</f>
        <v/>
      </c>
      <c r="D80" s="64" t="str">
        <f aca="false">IF('Invoice &amp; Delivery Log'!$A80="","",'Invoice &amp; Delivery Log'!$M80)</f>
        <v/>
      </c>
      <c r="E80" s="70" t="str">
        <f aca="false">IF('Invoice &amp; Delivery Log'!$A80="","",IF('Invoice &amp; Delivery Log'!$Y80="Yes",'Invoice &amp; Delivery Log'!$P80,""))</f>
        <v/>
      </c>
      <c r="F80" s="47" t="str">
        <f aca="false">IF(OR($E80="",$D80=""),"",$D80-Settings!$C$5)</f>
        <v/>
      </c>
      <c r="G80" s="36" t="str">
        <f aca="false">IF($A80="","",IF($E80="","Closed",IF($F80="","No Due Date",IF($F80&lt;0,"Overdue",IF($F80&lt;=Settings!$C$11,"Due in 0-7 Days",IF($F80&lt;=2*Settings!$C$11,"Due in 8-14 Days",IF($F80&lt;=Settings!$C$12,"Due in 15-30 Days","Due in 31+ Days")))))))</f>
        <v/>
      </c>
      <c r="H80" s="29" t="str">
        <f aca="false">IF('Invoice &amp; Delivery Log'!$Z80="","",'Invoice &amp; Delivery Log'!$Z80)</f>
        <v/>
      </c>
      <c r="I80" s="56"/>
      <c r="J80" s="58"/>
      <c r="K80" s="30" t="str">
        <f aca="false">IF($E80="","",ROUND($E80-N($J80),2))</f>
        <v/>
      </c>
      <c r="L80" s="28" t="str">
        <f aca="false">IF($A80="","",IF($E80="","No action needed",IF(AND(N($J80)&gt;0,$I80=""),"Missing planned date",IF(ROUND(N($J80)-$E80,2)&gt;0,"Planned amount exceeds balance",IF(AND($I80&lt;&gt;"",$I80&lt;Settings!$C$5),"Planned date is in the past",IF(N($J80)&lt;=0,"Not planned yet",IF(ROUND($K80,2)&lt;=0,"Fully planned","Partly planned")))))))</f>
        <v/>
      </c>
    </row>
    <row r="81" customFormat="false" ht="15" hidden="false" customHeight="true" outlineLevel="0" collapsed="false">
      <c r="A81" s="65" t="str">
        <f aca="false">IF('Invoice &amp; Delivery Log'!$A81="","",'Invoice &amp; Delivery Log'!$A81)</f>
        <v/>
      </c>
      <c r="B81" s="59" t="str">
        <f aca="false">IF('Invoice &amp; Delivery Log'!$A81="","",'Invoice &amp; Delivery Log'!$C81)</f>
        <v/>
      </c>
      <c r="C81" s="66" t="str">
        <f aca="false">IF('Invoice &amp; Delivery Log'!$A81="","",'Invoice &amp; Delivery Log'!$H81)</f>
        <v/>
      </c>
      <c r="D81" s="66" t="str">
        <f aca="false">IF('Invoice &amp; Delivery Log'!$A81="","",'Invoice &amp; Delivery Log'!$M81)</f>
        <v/>
      </c>
      <c r="E81" s="71" t="str">
        <f aca="false">IF('Invoice &amp; Delivery Log'!$A81="","",IF('Invoice &amp; Delivery Log'!$Y81="Yes",'Invoice &amp; Delivery Log'!$P81,""))</f>
        <v/>
      </c>
      <c r="F81" s="52" t="str">
        <f aca="false">IF(OR($E81="",$D81=""),"",$D81-Settings!$C$5)</f>
        <v/>
      </c>
      <c r="G81" s="53" t="str">
        <f aca="false">IF($A81="","",IF($E81="","Closed",IF($F81="","No Due Date",IF($F81&lt;0,"Overdue",IF($F81&lt;=Settings!$C$11,"Due in 0-7 Days",IF($F81&lt;=2*Settings!$C$11,"Due in 8-14 Days",IF($F81&lt;=Settings!$C$12,"Due in 15-30 Days","Due in 31+ Days")))))))</f>
        <v/>
      </c>
      <c r="H81" s="49" t="str">
        <f aca="false">IF('Invoice &amp; Delivery Log'!$Z81="","",'Invoice &amp; Delivery Log'!$Z81)</f>
        <v/>
      </c>
      <c r="I81" s="56"/>
      <c r="J81" s="58"/>
      <c r="K81" s="50" t="str">
        <f aca="false">IF($E81="","",ROUND($E81-N($J81),2))</f>
        <v/>
      </c>
      <c r="L81" s="62" t="str">
        <f aca="false">IF($A81="","",IF($E81="","No action needed",IF(AND(N($J81)&gt;0,$I81=""),"Missing planned date",IF(ROUND(N($J81)-$E81,2)&gt;0,"Planned amount exceeds balance",IF(AND($I81&lt;&gt;"",$I81&lt;Settings!$C$5),"Planned date is in the past",IF(N($J81)&lt;=0,"Not planned yet",IF(ROUND($K81,2)&lt;=0,"Fully planned","Partly planned")))))))</f>
        <v/>
      </c>
    </row>
    <row r="82" customFormat="false" ht="15" hidden="false" customHeight="true" outlineLevel="0" collapsed="false">
      <c r="A82" s="63" t="str">
        <f aca="false">IF('Invoice &amp; Delivery Log'!$A82="","",'Invoice &amp; Delivery Log'!$A82)</f>
        <v/>
      </c>
      <c r="B82" s="55" t="str">
        <f aca="false">IF('Invoice &amp; Delivery Log'!$A82="","",'Invoice &amp; Delivery Log'!$C82)</f>
        <v/>
      </c>
      <c r="C82" s="64" t="str">
        <f aca="false">IF('Invoice &amp; Delivery Log'!$A82="","",'Invoice &amp; Delivery Log'!$H82)</f>
        <v/>
      </c>
      <c r="D82" s="64" t="str">
        <f aca="false">IF('Invoice &amp; Delivery Log'!$A82="","",'Invoice &amp; Delivery Log'!$M82)</f>
        <v/>
      </c>
      <c r="E82" s="70" t="str">
        <f aca="false">IF('Invoice &amp; Delivery Log'!$A82="","",IF('Invoice &amp; Delivery Log'!$Y82="Yes",'Invoice &amp; Delivery Log'!$P82,""))</f>
        <v/>
      </c>
      <c r="F82" s="47" t="str">
        <f aca="false">IF(OR($E82="",$D82=""),"",$D82-Settings!$C$5)</f>
        <v/>
      </c>
      <c r="G82" s="36" t="str">
        <f aca="false">IF($A82="","",IF($E82="","Closed",IF($F82="","No Due Date",IF($F82&lt;0,"Overdue",IF($F82&lt;=Settings!$C$11,"Due in 0-7 Days",IF($F82&lt;=2*Settings!$C$11,"Due in 8-14 Days",IF($F82&lt;=Settings!$C$12,"Due in 15-30 Days","Due in 31+ Days")))))))</f>
        <v/>
      </c>
      <c r="H82" s="29" t="str">
        <f aca="false">IF('Invoice &amp; Delivery Log'!$Z82="","",'Invoice &amp; Delivery Log'!$Z82)</f>
        <v/>
      </c>
      <c r="I82" s="56"/>
      <c r="J82" s="58"/>
      <c r="K82" s="30" t="str">
        <f aca="false">IF($E82="","",ROUND($E82-N($J82),2))</f>
        <v/>
      </c>
      <c r="L82" s="28" t="str">
        <f aca="false">IF($A82="","",IF($E82="","No action needed",IF(AND(N($J82)&gt;0,$I82=""),"Missing planned date",IF(ROUND(N($J82)-$E82,2)&gt;0,"Planned amount exceeds balance",IF(AND($I82&lt;&gt;"",$I82&lt;Settings!$C$5),"Planned date is in the past",IF(N($J82)&lt;=0,"Not planned yet",IF(ROUND($K82,2)&lt;=0,"Fully planned","Partly planned")))))))</f>
        <v/>
      </c>
    </row>
    <row r="83" customFormat="false" ht="15" hidden="false" customHeight="true" outlineLevel="0" collapsed="false">
      <c r="A83" s="65" t="str">
        <f aca="false">IF('Invoice &amp; Delivery Log'!$A83="","",'Invoice &amp; Delivery Log'!$A83)</f>
        <v/>
      </c>
      <c r="B83" s="59" t="str">
        <f aca="false">IF('Invoice &amp; Delivery Log'!$A83="","",'Invoice &amp; Delivery Log'!$C83)</f>
        <v/>
      </c>
      <c r="C83" s="66" t="str">
        <f aca="false">IF('Invoice &amp; Delivery Log'!$A83="","",'Invoice &amp; Delivery Log'!$H83)</f>
        <v/>
      </c>
      <c r="D83" s="66" t="str">
        <f aca="false">IF('Invoice &amp; Delivery Log'!$A83="","",'Invoice &amp; Delivery Log'!$M83)</f>
        <v/>
      </c>
      <c r="E83" s="71" t="str">
        <f aca="false">IF('Invoice &amp; Delivery Log'!$A83="","",IF('Invoice &amp; Delivery Log'!$Y83="Yes",'Invoice &amp; Delivery Log'!$P83,""))</f>
        <v/>
      </c>
      <c r="F83" s="52" t="str">
        <f aca="false">IF(OR($E83="",$D83=""),"",$D83-Settings!$C$5)</f>
        <v/>
      </c>
      <c r="G83" s="53" t="str">
        <f aca="false">IF($A83="","",IF($E83="","Closed",IF($F83="","No Due Date",IF($F83&lt;0,"Overdue",IF($F83&lt;=Settings!$C$11,"Due in 0-7 Days",IF($F83&lt;=2*Settings!$C$11,"Due in 8-14 Days",IF($F83&lt;=Settings!$C$12,"Due in 15-30 Days","Due in 31+ Days")))))))</f>
        <v/>
      </c>
      <c r="H83" s="49" t="str">
        <f aca="false">IF('Invoice &amp; Delivery Log'!$Z83="","",'Invoice &amp; Delivery Log'!$Z83)</f>
        <v/>
      </c>
      <c r="I83" s="56"/>
      <c r="J83" s="58"/>
      <c r="K83" s="50" t="str">
        <f aca="false">IF($E83="","",ROUND($E83-N($J83),2))</f>
        <v/>
      </c>
      <c r="L83" s="62" t="str">
        <f aca="false">IF($A83="","",IF($E83="","No action needed",IF(AND(N($J83)&gt;0,$I83=""),"Missing planned date",IF(ROUND(N($J83)-$E83,2)&gt;0,"Planned amount exceeds balance",IF(AND($I83&lt;&gt;"",$I83&lt;Settings!$C$5),"Planned date is in the past",IF(N($J83)&lt;=0,"Not planned yet",IF(ROUND($K83,2)&lt;=0,"Fully planned","Partly planned")))))))</f>
        <v/>
      </c>
    </row>
    <row r="84" customFormat="false" ht="15" hidden="false" customHeight="true" outlineLevel="0" collapsed="false">
      <c r="A84" s="63" t="str">
        <f aca="false">IF('Invoice &amp; Delivery Log'!$A84="","",'Invoice &amp; Delivery Log'!$A84)</f>
        <v/>
      </c>
      <c r="B84" s="55" t="str">
        <f aca="false">IF('Invoice &amp; Delivery Log'!$A84="","",'Invoice &amp; Delivery Log'!$C84)</f>
        <v/>
      </c>
      <c r="C84" s="64" t="str">
        <f aca="false">IF('Invoice &amp; Delivery Log'!$A84="","",'Invoice &amp; Delivery Log'!$H84)</f>
        <v/>
      </c>
      <c r="D84" s="64" t="str">
        <f aca="false">IF('Invoice &amp; Delivery Log'!$A84="","",'Invoice &amp; Delivery Log'!$M84)</f>
        <v/>
      </c>
      <c r="E84" s="70" t="str">
        <f aca="false">IF('Invoice &amp; Delivery Log'!$A84="","",IF('Invoice &amp; Delivery Log'!$Y84="Yes",'Invoice &amp; Delivery Log'!$P84,""))</f>
        <v/>
      </c>
      <c r="F84" s="47" t="str">
        <f aca="false">IF(OR($E84="",$D84=""),"",$D84-Settings!$C$5)</f>
        <v/>
      </c>
      <c r="G84" s="36" t="str">
        <f aca="false">IF($A84="","",IF($E84="","Closed",IF($F84="","No Due Date",IF($F84&lt;0,"Overdue",IF($F84&lt;=Settings!$C$11,"Due in 0-7 Days",IF($F84&lt;=2*Settings!$C$11,"Due in 8-14 Days",IF($F84&lt;=Settings!$C$12,"Due in 15-30 Days","Due in 31+ Days")))))))</f>
        <v/>
      </c>
      <c r="H84" s="29" t="str">
        <f aca="false">IF('Invoice &amp; Delivery Log'!$Z84="","",'Invoice &amp; Delivery Log'!$Z84)</f>
        <v/>
      </c>
      <c r="I84" s="56"/>
      <c r="J84" s="58"/>
      <c r="K84" s="30" t="str">
        <f aca="false">IF($E84="","",ROUND($E84-N($J84),2))</f>
        <v/>
      </c>
      <c r="L84" s="28" t="str">
        <f aca="false">IF($A84="","",IF($E84="","No action needed",IF(AND(N($J84)&gt;0,$I84=""),"Missing planned date",IF(ROUND(N($J84)-$E84,2)&gt;0,"Planned amount exceeds balance",IF(AND($I84&lt;&gt;"",$I84&lt;Settings!$C$5),"Planned date is in the past",IF(N($J84)&lt;=0,"Not planned yet",IF(ROUND($K84,2)&lt;=0,"Fully planned","Partly planned")))))))</f>
        <v/>
      </c>
    </row>
    <row r="85" customFormat="false" ht="15" hidden="false" customHeight="true" outlineLevel="0" collapsed="false">
      <c r="A85" s="65" t="str">
        <f aca="false">IF('Invoice &amp; Delivery Log'!$A85="","",'Invoice &amp; Delivery Log'!$A85)</f>
        <v/>
      </c>
      <c r="B85" s="59" t="str">
        <f aca="false">IF('Invoice &amp; Delivery Log'!$A85="","",'Invoice &amp; Delivery Log'!$C85)</f>
        <v/>
      </c>
      <c r="C85" s="66" t="str">
        <f aca="false">IF('Invoice &amp; Delivery Log'!$A85="","",'Invoice &amp; Delivery Log'!$H85)</f>
        <v/>
      </c>
      <c r="D85" s="66" t="str">
        <f aca="false">IF('Invoice &amp; Delivery Log'!$A85="","",'Invoice &amp; Delivery Log'!$M85)</f>
        <v/>
      </c>
      <c r="E85" s="71" t="str">
        <f aca="false">IF('Invoice &amp; Delivery Log'!$A85="","",IF('Invoice &amp; Delivery Log'!$Y85="Yes",'Invoice &amp; Delivery Log'!$P85,""))</f>
        <v/>
      </c>
      <c r="F85" s="52" t="str">
        <f aca="false">IF(OR($E85="",$D85=""),"",$D85-Settings!$C$5)</f>
        <v/>
      </c>
      <c r="G85" s="53" t="str">
        <f aca="false">IF($A85="","",IF($E85="","Closed",IF($F85="","No Due Date",IF($F85&lt;0,"Overdue",IF($F85&lt;=Settings!$C$11,"Due in 0-7 Days",IF($F85&lt;=2*Settings!$C$11,"Due in 8-14 Days",IF($F85&lt;=Settings!$C$12,"Due in 15-30 Days","Due in 31+ Days")))))))</f>
        <v/>
      </c>
      <c r="H85" s="49" t="str">
        <f aca="false">IF('Invoice &amp; Delivery Log'!$Z85="","",'Invoice &amp; Delivery Log'!$Z85)</f>
        <v/>
      </c>
      <c r="I85" s="56"/>
      <c r="J85" s="58"/>
      <c r="K85" s="50" t="str">
        <f aca="false">IF($E85="","",ROUND($E85-N($J85),2))</f>
        <v/>
      </c>
      <c r="L85" s="62" t="str">
        <f aca="false">IF($A85="","",IF($E85="","No action needed",IF(AND(N($J85)&gt;0,$I85=""),"Missing planned date",IF(ROUND(N($J85)-$E85,2)&gt;0,"Planned amount exceeds balance",IF(AND($I85&lt;&gt;"",$I85&lt;Settings!$C$5),"Planned date is in the past",IF(N($J85)&lt;=0,"Not planned yet",IF(ROUND($K85,2)&lt;=0,"Fully planned","Partly planned")))))))</f>
        <v/>
      </c>
    </row>
    <row r="86" customFormat="false" ht="15" hidden="false" customHeight="true" outlineLevel="0" collapsed="false">
      <c r="A86" s="63" t="str">
        <f aca="false">IF('Invoice &amp; Delivery Log'!$A86="","",'Invoice &amp; Delivery Log'!$A86)</f>
        <v/>
      </c>
      <c r="B86" s="55" t="str">
        <f aca="false">IF('Invoice &amp; Delivery Log'!$A86="","",'Invoice &amp; Delivery Log'!$C86)</f>
        <v/>
      </c>
      <c r="C86" s="64" t="str">
        <f aca="false">IF('Invoice &amp; Delivery Log'!$A86="","",'Invoice &amp; Delivery Log'!$H86)</f>
        <v/>
      </c>
      <c r="D86" s="64" t="str">
        <f aca="false">IF('Invoice &amp; Delivery Log'!$A86="","",'Invoice &amp; Delivery Log'!$M86)</f>
        <v/>
      </c>
      <c r="E86" s="70" t="str">
        <f aca="false">IF('Invoice &amp; Delivery Log'!$A86="","",IF('Invoice &amp; Delivery Log'!$Y86="Yes",'Invoice &amp; Delivery Log'!$P86,""))</f>
        <v/>
      </c>
      <c r="F86" s="47" t="str">
        <f aca="false">IF(OR($E86="",$D86=""),"",$D86-Settings!$C$5)</f>
        <v/>
      </c>
      <c r="G86" s="36" t="str">
        <f aca="false">IF($A86="","",IF($E86="","Closed",IF($F86="","No Due Date",IF($F86&lt;0,"Overdue",IF($F86&lt;=Settings!$C$11,"Due in 0-7 Days",IF($F86&lt;=2*Settings!$C$11,"Due in 8-14 Days",IF($F86&lt;=Settings!$C$12,"Due in 15-30 Days","Due in 31+ Days")))))))</f>
        <v/>
      </c>
      <c r="H86" s="29" t="str">
        <f aca="false">IF('Invoice &amp; Delivery Log'!$Z86="","",'Invoice &amp; Delivery Log'!$Z86)</f>
        <v/>
      </c>
      <c r="I86" s="56"/>
      <c r="J86" s="58"/>
      <c r="K86" s="30" t="str">
        <f aca="false">IF($E86="","",ROUND($E86-N($J86),2))</f>
        <v/>
      </c>
      <c r="L86" s="28" t="str">
        <f aca="false">IF($A86="","",IF($E86="","No action needed",IF(AND(N($J86)&gt;0,$I86=""),"Missing planned date",IF(ROUND(N($J86)-$E86,2)&gt;0,"Planned amount exceeds balance",IF(AND($I86&lt;&gt;"",$I86&lt;Settings!$C$5),"Planned date is in the past",IF(N($J86)&lt;=0,"Not planned yet",IF(ROUND($K86,2)&lt;=0,"Fully planned","Partly planned")))))))</f>
        <v/>
      </c>
    </row>
    <row r="87" customFormat="false" ht="15" hidden="false" customHeight="true" outlineLevel="0" collapsed="false">
      <c r="A87" s="65" t="str">
        <f aca="false">IF('Invoice &amp; Delivery Log'!$A87="","",'Invoice &amp; Delivery Log'!$A87)</f>
        <v/>
      </c>
      <c r="B87" s="59" t="str">
        <f aca="false">IF('Invoice &amp; Delivery Log'!$A87="","",'Invoice &amp; Delivery Log'!$C87)</f>
        <v/>
      </c>
      <c r="C87" s="66" t="str">
        <f aca="false">IF('Invoice &amp; Delivery Log'!$A87="","",'Invoice &amp; Delivery Log'!$H87)</f>
        <v/>
      </c>
      <c r="D87" s="66" t="str">
        <f aca="false">IF('Invoice &amp; Delivery Log'!$A87="","",'Invoice &amp; Delivery Log'!$M87)</f>
        <v/>
      </c>
      <c r="E87" s="71" t="str">
        <f aca="false">IF('Invoice &amp; Delivery Log'!$A87="","",IF('Invoice &amp; Delivery Log'!$Y87="Yes",'Invoice &amp; Delivery Log'!$P87,""))</f>
        <v/>
      </c>
      <c r="F87" s="52" t="str">
        <f aca="false">IF(OR($E87="",$D87=""),"",$D87-Settings!$C$5)</f>
        <v/>
      </c>
      <c r="G87" s="53" t="str">
        <f aca="false">IF($A87="","",IF($E87="","Closed",IF($F87="","No Due Date",IF($F87&lt;0,"Overdue",IF($F87&lt;=Settings!$C$11,"Due in 0-7 Days",IF($F87&lt;=2*Settings!$C$11,"Due in 8-14 Days",IF($F87&lt;=Settings!$C$12,"Due in 15-30 Days","Due in 31+ Days")))))))</f>
        <v/>
      </c>
      <c r="H87" s="49" t="str">
        <f aca="false">IF('Invoice &amp; Delivery Log'!$Z87="","",'Invoice &amp; Delivery Log'!$Z87)</f>
        <v/>
      </c>
      <c r="I87" s="56"/>
      <c r="J87" s="58"/>
      <c r="K87" s="50" t="str">
        <f aca="false">IF($E87="","",ROUND($E87-N($J87),2))</f>
        <v/>
      </c>
      <c r="L87" s="62" t="str">
        <f aca="false">IF($A87="","",IF($E87="","No action needed",IF(AND(N($J87)&gt;0,$I87=""),"Missing planned date",IF(ROUND(N($J87)-$E87,2)&gt;0,"Planned amount exceeds balance",IF(AND($I87&lt;&gt;"",$I87&lt;Settings!$C$5),"Planned date is in the past",IF(N($J87)&lt;=0,"Not planned yet",IF(ROUND($K87,2)&lt;=0,"Fully planned","Partly planned")))))))</f>
        <v/>
      </c>
    </row>
    <row r="88" customFormat="false" ht="15" hidden="false" customHeight="true" outlineLevel="0" collapsed="false">
      <c r="A88" s="63" t="str">
        <f aca="false">IF('Invoice &amp; Delivery Log'!$A88="","",'Invoice &amp; Delivery Log'!$A88)</f>
        <v/>
      </c>
      <c r="B88" s="55" t="str">
        <f aca="false">IF('Invoice &amp; Delivery Log'!$A88="","",'Invoice &amp; Delivery Log'!$C88)</f>
        <v/>
      </c>
      <c r="C88" s="64" t="str">
        <f aca="false">IF('Invoice &amp; Delivery Log'!$A88="","",'Invoice &amp; Delivery Log'!$H88)</f>
        <v/>
      </c>
      <c r="D88" s="64" t="str">
        <f aca="false">IF('Invoice &amp; Delivery Log'!$A88="","",'Invoice &amp; Delivery Log'!$M88)</f>
        <v/>
      </c>
      <c r="E88" s="70" t="str">
        <f aca="false">IF('Invoice &amp; Delivery Log'!$A88="","",IF('Invoice &amp; Delivery Log'!$Y88="Yes",'Invoice &amp; Delivery Log'!$P88,""))</f>
        <v/>
      </c>
      <c r="F88" s="47" t="str">
        <f aca="false">IF(OR($E88="",$D88=""),"",$D88-Settings!$C$5)</f>
        <v/>
      </c>
      <c r="G88" s="36" t="str">
        <f aca="false">IF($A88="","",IF($E88="","Closed",IF($F88="","No Due Date",IF($F88&lt;0,"Overdue",IF($F88&lt;=Settings!$C$11,"Due in 0-7 Days",IF($F88&lt;=2*Settings!$C$11,"Due in 8-14 Days",IF($F88&lt;=Settings!$C$12,"Due in 15-30 Days","Due in 31+ Days")))))))</f>
        <v/>
      </c>
      <c r="H88" s="29" t="str">
        <f aca="false">IF('Invoice &amp; Delivery Log'!$Z88="","",'Invoice &amp; Delivery Log'!$Z88)</f>
        <v/>
      </c>
      <c r="I88" s="56"/>
      <c r="J88" s="58"/>
      <c r="K88" s="30" t="str">
        <f aca="false">IF($E88="","",ROUND($E88-N($J88),2))</f>
        <v/>
      </c>
      <c r="L88" s="28" t="str">
        <f aca="false">IF($A88="","",IF($E88="","No action needed",IF(AND(N($J88)&gt;0,$I88=""),"Missing planned date",IF(ROUND(N($J88)-$E88,2)&gt;0,"Planned amount exceeds balance",IF(AND($I88&lt;&gt;"",$I88&lt;Settings!$C$5),"Planned date is in the past",IF(N($J88)&lt;=0,"Not planned yet",IF(ROUND($K88,2)&lt;=0,"Fully planned","Partly planned")))))))</f>
        <v/>
      </c>
    </row>
    <row r="89" customFormat="false" ht="15" hidden="false" customHeight="true" outlineLevel="0" collapsed="false">
      <c r="A89" s="65" t="str">
        <f aca="false">IF('Invoice &amp; Delivery Log'!$A89="","",'Invoice &amp; Delivery Log'!$A89)</f>
        <v/>
      </c>
      <c r="B89" s="59" t="str">
        <f aca="false">IF('Invoice &amp; Delivery Log'!$A89="","",'Invoice &amp; Delivery Log'!$C89)</f>
        <v/>
      </c>
      <c r="C89" s="66" t="str">
        <f aca="false">IF('Invoice &amp; Delivery Log'!$A89="","",'Invoice &amp; Delivery Log'!$H89)</f>
        <v/>
      </c>
      <c r="D89" s="66" t="str">
        <f aca="false">IF('Invoice &amp; Delivery Log'!$A89="","",'Invoice &amp; Delivery Log'!$M89)</f>
        <v/>
      </c>
      <c r="E89" s="71" t="str">
        <f aca="false">IF('Invoice &amp; Delivery Log'!$A89="","",IF('Invoice &amp; Delivery Log'!$Y89="Yes",'Invoice &amp; Delivery Log'!$P89,""))</f>
        <v/>
      </c>
      <c r="F89" s="52" t="str">
        <f aca="false">IF(OR($E89="",$D89=""),"",$D89-Settings!$C$5)</f>
        <v/>
      </c>
      <c r="G89" s="53" t="str">
        <f aca="false">IF($A89="","",IF($E89="","Closed",IF($F89="","No Due Date",IF($F89&lt;0,"Overdue",IF($F89&lt;=Settings!$C$11,"Due in 0-7 Days",IF($F89&lt;=2*Settings!$C$11,"Due in 8-14 Days",IF($F89&lt;=Settings!$C$12,"Due in 15-30 Days","Due in 31+ Days")))))))</f>
        <v/>
      </c>
      <c r="H89" s="49" t="str">
        <f aca="false">IF('Invoice &amp; Delivery Log'!$Z89="","",'Invoice &amp; Delivery Log'!$Z89)</f>
        <v/>
      </c>
      <c r="I89" s="56"/>
      <c r="J89" s="58"/>
      <c r="K89" s="50" t="str">
        <f aca="false">IF($E89="","",ROUND($E89-N($J89),2))</f>
        <v/>
      </c>
      <c r="L89" s="62" t="str">
        <f aca="false">IF($A89="","",IF($E89="","No action needed",IF(AND(N($J89)&gt;0,$I89=""),"Missing planned date",IF(ROUND(N($J89)-$E89,2)&gt;0,"Planned amount exceeds balance",IF(AND($I89&lt;&gt;"",$I89&lt;Settings!$C$5),"Planned date is in the past",IF(N($J89)&lt;=0,"Not planned yet",IF(ROUND($K89,2)&lt;=0,"Fully planned","Partly planned")))))))</f>
        <v/>
      </c>
    </row>
    <row r="90" customFormat="false" ht="15" hidden="false" customHeight="true" outlineLevel="0" collapsed="false">
      <c r="A90" s="63" t="str">
        <f aca="false">IF('Invoice &amp; Delivery Log'!$A90="","",'Invoice &amp; Delivery Log'!$A90)</f>
        <v/>
      </c>
      <c r="B90" s="55" t="str">
        <f aca="false">IF('Invoice &amp; Delivery Log'!$A90="","",'Invoice &amp; Delivery Log'!$C90)</f>
        <v/>
      </c>
      <c r="C90" s="64" t="str">
        <f aca="false">IF('Invoice &amp; Delivery Log'!$A90="","",'Invoice &amp; Delivery Log'!$H90)</f>
        <v/>
      </c>
      <c r="D90" s="64" t="str">
        <f aca="false">IF('Invoice &amp; Delivery Log'!$A90="","",'Invoice &amp; Delivery Log'!$M90)</f>
        <v/>
      </c>
      <c r="E90" s="70" t="str">
        <f aca="false">IF('Invoice &amp; Delivery Log'!$A90="","",IF('Invoice &amp; Delivery Log'!$Y90="Yes",'Invoice &amp; Delivery Log'!$P90,""))</f>
        <v/>
      </c>
      <c r="F90" s="47" t="str">
        <f aca="false">IF(OR($E90="",$D90=""),"",$D90-Settings!$C$5)</f>
        <v/>
      </c>
      <c r="G90" s="36" t="str">
        <f aca="false">IF($A90="","",IF($E90="","Closed",IF($F90="","No Due Date",IF($F90&lt;0,"Overdue",IF($F90&lt;=Settings!$C$11,"Due in 0-7 Days",IF($F90&lt;=2*Settings!$C$11,"Due in 8-14 Days",IF($F90&lt;=Settings!$C$12,"Due in 15-30 Days","Due in 31+ Days")))))))</f>
        <v/>
      </c>
      <c r="H90" s="29" t="str">
        <f aca="false">IF('Invoice &amp; Delivery Log'!$Z90="","",'Invoice &amp; Delivery Log'!$Z90)</f>
        <v/>
      </c>
      <c r="I90" s="56"/>
      <c r="J90" s="58"/>
      <c r="K90" s="30" t="str">
        <f aca="false">IF($E90="","",ROUND($E90-N($J90),2))</f>
        <v/>
      </c>
      <c r="L90" s="28" t="str">
        <f aca="false">IF($A90="","",IF($E90="","No action needed",IF(AND(N($J90)&gt;0,$I90=""),"Missing planned date",IF(ROUND(N($J90)-$E90,2)&gt;0,"Planned amount exceeds balance",IF(AND($I90&lt;&gt;"",$I90&lt;Settings!$C$5),"Planned date is in the past",IF(N($J90)&lt;=0,"Not planned yet",IF(ROUND($K90,2)&lt;=0,"Fully planned","Partly planned")))))))</f>
        <v/>
      </c>
    </row>
    <row r="91" customFormat="false" ht="15" hidden="false" customHeight="true" outlineLevel="0" collapsed="false">
      <c r="A91" s="65" t="str">
        <f aca="false">IF('Invoice &amp; Delivery Log'!$A91="","",'Invoice &amp; Delivery Log'!$A91)</f>
        <v/>
      </c>
      <c r="B91" s="59" t="str">
        <f aca="false">IF('Invoice &amp; Delivery Log'!$A91="","",'Invoice &amp; Delivery Log'!$C91)</f>
        <v/>
      </c>
      <c r="C91" s="66" t="str">
        <f aca="false">IF('Invoice &amp; Delivery Log'!$A91="","",'Invoice &amp; Delivery Log'!$H91)</f>
        <v/>
      </c>
      <c r="D91" s="66" t="str">
        <f aca="false">IF('Invoice &amp; Delivery Log'!$A91="","",'Invoice &amp; Delivery Log'!$M91)</f>
        <v/>
      </c>
      <c r="E91" s="71" t="str">
        <f aca="false">IF('Invoice &amp; Delivery Log'!$A91="","",IF('Invoice &amp; Delivery Log'!$Y91="Yes",'Invoice &amp; Delivery Log'!$P91,""))</f>
        <v/>
      </c>
      <c r="F91" s="52" t="str">
        <f aca="false">IF(OR($E91="",$D91=""),"",$D91-Settings!$C$5)</f>
        <v/>
      </c>
      <c r="G91" s="53" t="str">
        <f aca="false">IF($A91="","",IF($E91="","Closed",IF($F91="","No Due Date",IF($F91&lt;0,"Overdue",IF($F91&lt;=Settings!$C$11,"Due in 0-7 Days",IF($F91&lt;=2*Settings!$C$11,"Due in 8-14 Days",IF($F91&lt;=Settings!$C$12,"Due in 15-30 Days","Due in 31+ Days")))))))</f>
        <v/>
      </c>
      <c r="H91" s="49" t="str">
        <f aca="false">IF('Invoice &amp; Delivery Log'!$Z91="","",'Invoice &amp; Delivery Log'!$Z91)</f>
        <v/>
      </c>
      <c r="I91" s="56"/>
      <c r="J91" s="58"/>
      <c r="K91" s="50" t="str">
        <f aca="false">IF($E91="","",ROUND($E91-N($J91),2))</f>
        <v/>
      </c>
      <c r="L91" s="62" t="str">
        <f aca="false">IF($A91="","",IF($E91="","No action needed",IF(AND(N($J91)&gt;0,$I91=""),"Missing planned date",IF(ROUND(N($J91)-$E91,2)&gt;0,"Planned amount exceeds balance",IF(AND($I91&lt;&gt;"",$I91&lt;Settings!$C$5),"Planned date is in the past",IF(N($J91)&lt;=0,"Not planned yet",IF(ROUND($K91,2)&lt;=0,"Fully planned","Partly planned")))))))</f>
        <v/>
      </c>
    </row>
    <row r="92" customFormat="false" ht="15" hidden="false" customHeight="true" outlineLevel="0" collapsed="false">
      <c r="A92" s="63" t="str">
        <f aca="false">IF('Invoice &amp; Delivery Log'!$A92="","",'Invoice &amp; Delivery Log'!$A92)</f>
        <v/>
      </c>
      <c r="B92" s="55" t="str">
        <f aca="false">IF('Invoice &amp; Delivery Log'!$A92="","",'Invoice &amp; Delivery Log'!$C92)</f>
        <v/>
      </c>
      <c r="C92" s="64" t="str">
        <f aca="false">IF('Invoice &amp; Delivery Log'!$A92="","",'Invoice &amp; Delivery Log'!$H92)</f>
        <v/>
      </c>
      <c r="D92" s="64" t="str">
        <f aca="false">IF('Invoice &amp; Delivery Log'!$A92="","",'Invoice &amp; Delivery Log'!$M92)</f>
        <v/>
      </c>
      <c r="E92" s="70" t="str">
        <f aca="false">IF('Invoice &amp; Delivery Log'!$A92="","",IF('Invoice &amp; Delivery Log'!$Y92="Yes",'Invoice &amp; Delivery Log'!$P92,""))</f>
        <v/>
      </c>
      <c r="F92" s="47" t="str">
        <f aca="false">IF(OR($E92="",$D92=""),"",$D92-Settings!$C$5)</f>
        <v/>
      </c>
      <c r="G92" s="36" t="str">
        <f aca="false">IF($A92="","",IF($E92="","Closed",IF($F92="","No Due Date",IF($F92&lt;0,"Overdue",IF($F92&lt;=Settings!$C$11,"Due in 0-7 Days",IF($F92&lt;=2*Settings!$C$11,"Due in 8-14 Days",IF($F92&lt;=Settings!$C$12,"Due in 15-30 Days","Due in 31+ Days")))))))</f>
        <v/>
      </c>
      <c r="H92" s="29" t="str">
        <f aca="false">IF('Invoice &amp; Delivery Log'!$Z92="","",'Invoice &amp; Delivery Log'!$Z92)</f>
        <v/>
      </c>
      <c r="I92" s="56"/>
      <c r="J92" s="58"/>
      <c r="K92" s="30" t="str">
        <f aca="false">IF($E92="","",ROUND($E92-N($J92),2))</f>
        <v/>
      </c>
      <c r="L92" s="28" t="str">
        <f aca="false">IF($A92="","",IF($E92="","No action needed",IF(AND(N($J92)&gt;0,$I92=""),"Missing planned date",IF(ROUND(N($J92)-$E92,2)&gt;0,"Planned amount exceeds balance",IF(AND($I92&lt;&gt;"",$I92&lt;Settings!$C$5),"Planned date is in the past",IF(N($J92)&lt;=0,"Not planned yet",IF(ROUND($K92,2)&lt;=0,"Fully planned","Partly planned")))))))</f>
        <v/>
      </c>
    </row>
    <row r="93" customFormat="false" ht="15" hidden="false" customHeight="true" outlineLevel="0" collapsed="false">
      <c r="A93" s="65" t="str">
        <f aca="false">IF('Invoice &amp; Delivery Log'!$A93="","",'Invoice &amp; Delivery Log'!$A93)</f>
        <v/>
      </c>
      <c r="B93" s="59" t="str">
        <f aca="false">IF('Invoice &amp; Delivery Log'!$A93="","",'Invoice &amp; Delivery Log'!$C93)</f>
        <v/>
      </c>
      <c r="C93" s="66" t="str">
        <f aca="false">IF('Invoice &amp; Delivery Log'!$A93="","",'Invoice &amp; Delivery Log'!$H93)</f>
        <v/>
      </c>
      <c r="D93" s="66" t="str">
        <f aca="false">IF('Invoice &amp; Delivery Log'!$A93="","",'Invoice &amp; Delivery Log'!$M93)</f>
        <v/>
      </c>
      <c r="E93" s="71" t="str">
        <f aca="false">IF('Invoice &amp; Delivery Log'!$A93="","",IF('Invoice &amp; Delivery Log'!$Y93="Yes",'Invoice &amp; Delivery Log'!$P93,""))</f>
        <v/>
      </c>
      <c r="F93" s="52" t="str">
        <f aca="false">IF(OR($E93="",$D93=""),"",$D93-Settings!$C$5)</f>
        <v/>
      </c>
      <c r="G93" s="53" t="str">
        <f aca="false">IF($A93="","",IF($E93="","Closed",IF($F93="","No Due Date",IF($F93&lt;0,"Overdue",IF($F93&lt;=Settings!$C$11,"Due in 0-7 Days",IF($F93&lt;=2*Settings!$C$11,"Due in 8-14 Days",IF($F93&lt;=Settings!$C$12,"Due in 15-30 Days","Due in 31+ Days")))))))</f>
        <v/>
      </c>
      <c r="H93" s="49" t="str">
        <f aca="false">IF('Invoice &amp; Delivery Log'!$Z93="","",'Invoice &amp; Delivery Log'!$Z93)</f>
        <v/>
      </c>
      <c r="I93" s="56"/>
      <c r="J93" s="58"/>
      <c r="K93" s="50" t="str">
        <f aca="false">IF($E93="","",ROUND($E93-N($J93),2))</f>
        <v/>
      </c>
      <c r="L93" s="62" t="str">
        <f aca="false">IF($A93="","",IF($E93="","No action needed",IF(AND(N($J93)&gt;0,$I93=""),"Missing planned date",IF(ROUND(N($J93)-$E93,2)&gt;0,"Planned amount exceeds balance",IF(AND($I93&lt;&gt;"",$I93&lt;Settings!$C$5),"Planned date is in the past",IF(N($J93)&lt;=0,"Not planned yet",IF(ROUND($K93,2)&lt;=0,"Fully planned","Partly planned")))))))</f>
        <v/>
      </c>
    </row>
    <row r="94" customFormat="false" ht="15" hidden="false" customHeight="true" outlineLevel="0" collapsed="false">
      <c r="A94" s="63" t="str">
        <f aca="false">IF('Invoice &amp; Delivery Log'!$A94="","",'Invoice &amp; Delivery Log'!$A94)</f>
        <v/>
      </c>
      <c r="B94" s="55" t="str">
        <f aca="false">IF('Invoice &amp; Delivery Log'!$A94="","",'Invoice &amp; Delivery Log'!$C94)</f>
        <v/>
      </c>
      <c r="C94" s="64" t="str">
        <f aca="false">IF('Invoice &amp; Delivery Log'!$A94="","",'Invoice &amp; Delivery Log'!$H94)</f>
        <v/>
      </c>
      <c r="D94" s="64" t="str">
        <f aca="false">IF('Invoice &amp; Delivery Log'!$A94="","",'Invoice &amp; Delivery Log'!$M94)</f>
        <v/>
      </c>
      <c r="E94" s="70" t="str">
        <f aca="false">IF('Invoice &amp; Delivery Log'!$A94="","",IF('Invoice &amp; Delivery Log'!$Y94="Yes",'Invoice &amp; Delivery Log'!$P94,""))</f>
        <v/>
      </c>
      <c r="F94" s="47" t="str">
        <f aca="false">IF(OR($E94="",$D94=""),"",$D94-Settings!$C$5)</f>
        <v/>
      </c>
      <c r="G94" s="36" t="str">
        <f aca="false">IF($A94="","",IF($E94="","Closed",IF($F94="","No Due Date",IF($F94&lt;0,"Overdue",IF($F94&lt;=Settings!$C$11,"Due in 0-7 Days",IF($F94&lt;=2*Settings!$C$11,"Due in 8-14 Days",IF($F94&lt;=Settings!$C$12,"Due in 15-30 Days","Due in 31+ Days")))))))</f>
        <v/>
      </c>
      <c r="H94" s="29" t="str">
        <f aca="false">IF('Invoice &amp; Delivery Log'!$Z94="","",'Invoice &amp; Delivery Log'!$Z94)</f>
        <v/>
      </c>
      <c r="I94" s="56"/>
      <c r="J94" s="58"/>
      <c r="K94" s="30" t="str">
        <f aca="false">IF($E94="","",ROUND($E94-N($J94),2))</f>
        <v/>
      </c>
      <c r="L94" s="28" t="str">
        <f aca="false">IF($A94="","",IF($E94="","No action needed",IF(AND(N($J94)&gt;0,$I94=""),"Missing planned date",IF(ROUND(N($J94)-$E94,2)&gt;0,"Planned amount exceeds balance",IF(AND($I94&lt;&gt;"",$I94&lt;Settings!$C$5),"Planned date is in the past",IF(N($J94)&lt;=0,"Not planned yet",IF(ROUND($K94,2)&lt;=0,"Fully planned","Partly planned")))))))</f>
        <v/>
      </c>
    </row>
    <row r="95" customFormat="false" ht="15" hidden="false" customHeight="true" outlineLevel="0" collapsed="false">
      <c r="A95" s="65" t="str">
        <f aca="false">IF('Invoice &amp; Delivery Log'!$A95="","",'Invoice &amp; Delivery Log'!$A95)</f>
        <v/>
      </c>
      <c r="B95" s="59" t="str">
        <f aca="false">IF('Invoice &amp; Delivery Log'!$A95="","",'Invoice &amp; Delivery Log'!$C95)</f>
        <v/>
      </c>
      <c r="C95" s="66" t="str">
        <f aca="false">IF('Invoice &amp; Delivery Log'!$A95="","",'Invoice &amp; Delivery Log'!$H95)</f>
        <v/>
      </c>
      <c r="D95" s="66" t="str">
        <f aca="false">IF('Invoice &amp; Delivery Log'!$A95="","",'Invoice &amp; Delivery Log'!$M95)</f>
        <v/>
      </c>
      <c r="E95" s="71" t="str">
        <f aca="false">IF('Invoice &amp; Delivery Log'!$A95="","",IF('Invoice &amp; Delivery Log'!$Y95="Yes",'Invoice &amp; Delivery Log'!$P95,""))</f>
        <v/>
      </c>
      <c r="F95" s="52" t="str">
        <f aca="false">IF(OR($E95="",$D95=""),"",$D95-Settings!$C$5)</f>
        <v/>
      </c>
      <c r="G95" s="53" t="str">
        <f aca="false">IF($A95="","",IF($E95="","Closed",IF($F95="","No Due Date",IF($F95&lt;0,"Overdue",IF($F95&lt;=Settings!$C$11,"Due in 0-7 Days",IF($F95&lt;=2*Settings!$C$11,"Due in 8-14 Days",IF($F95&lt;=Settings!$C$12,"Due in 15-30 Days","Due in 31+ Days")))))))</f>
        <v/>
      </c>
      <c r="H95" s="49" t="str">
        <f aca="false">IF('Invoice &amp; Delivery Log'!$Z95="","",'Invoice &amp; Delivery Log'!$Z95)</f>
        <v/>
      </c>
      <c r="I95" s="56"/>
      <c r="J95" s="58"/>
      <c r="K95" s="50" t="str">
        <f aca="false">IF($E95="","",ROUND($E95-N($J95),2))</f>
        <v/>
      </c>
      <c r="L95" s="62" t="str">
        <f aca="false">IF($A95="","",IF($E95="","No action needed",IF(AND(N($J95)&gt;0,$I95=""),"Missing planned date",IF(ROUND(N($J95)-$E95,2)&gt;0,"Planned amount exceeds balance",IF(AND($I95&lt;&gt;"",$I95&lt;Settings!$C$5),"Planned date is in the past",IF(N($J95)&lt;=0,"Not planned yet",IF(ROUND($K95,2)&lt;=0,"Fully planned","Partly planned")))))))</f>
        <v/>
      </c>
    </row>
    <row r="96" customFormat="false" ht="15" hidden="false" customHeight="true" outlineLevel="0" collapsed="false">
      <c r="A96" s="63" t="str">
        <f aca="false">IF('Invoice &amp; Delivery Log'!$A96="","",'Invoice &amp; Delivery Log'!$A96)</f>
        <v/>
      </c>
      <c r="B96" s="55" t="str">
        <f aca="false">IF('Invoice &amp; Delivery Log'!$A96="","",'Invoice &amp; Delivery Log'!$C96)</f>
        <v/>
      </c>
      <c r="C96" s="64" t="str">
        <f aca="false">IF('Invoice &amp; Delivery Log'!$A96="","",'Invoice &amp; Delivery Log'!$H96)</f>
        <v/>
      </c>
      <c r="D96" s="64" t="str">
        <f aca="false">IF('Invoice &amp; Delivery Log'!$A96="","",'Invoice &amp; Delivery Log'!$M96)</f>
        <v/>
      </c>
      <c r="E96" s="70" t="str">
        <f aca="false">IF('Invoice &amp; Delivery Log'!$A96="","",IF('Invoice &amp; Delivery Log'!$Y96="Yes",'Invoice &amp; Delivery Log'!$P96,""))</f>
        <v/>
      </c>
      <c r="F96" s="47" t="str">
        <f aca="false">IF(OR($E96="",$D96=""),"",$D96-Settings!$C$5)</f>
        <v/>
      </c>
      <c r="G96" s="36" t="str">
        <f aca="false">IF($A96="","",IF($E96="","Closed",IF($F96="","No Due Date",IF($F96&lt;0,"Overdue",IF($F96&lt;=Settings!$C$11,"Due in 0-7 Days",IF($F96&lt;=2*Settings!$C$11,"Due in 8-14 Days",IF($F96&lt;=Settings!$C$12,"Due in 15-30 Days","Due in 31+ Days")))))))</f>
        <v/>
      </c>
      <c r="H96" s="29" t="str">
        <f aca="false">IF('Invoice &amp; Delivery Log'!$Z96="","",'Invoice &amp; Delivery Log'!$Z96)</f>
        <v/>
      </c>
      <c r="I96" s="56"/>
      <c r="J96" s="58"/>
      <c r="K96" s="30" t="str">
        <f aca="false">IF($E96="","",ROUND($E96-N($J96),2))</f>
        <v/>
      </c>
      <c r="L96" s="28" t="str">
        <f aca="false">IF($A96="","",IF($E96="","No action needed",IF(AND(N($J96)&gt;0,$I96=""),"Missing planned date",IF(ROUND(N($J96)-$E96,2)&gt;0,"Planned amount exceeds balance",IF(AND($I96&lt;&gt;"",$I96&lt;Settings!$C$5),"Planned date is in the past",IF(N($J96)&lt;=0,"Not planned yet",IF(ROUND($K96,2)&lt;=0,"Fully planned","Partly planned")))))))</f>
        <v/>
      </c>
    </row>
    <row r="97" customFormat="false" ht="15" hidden="false" customHeight="true" outlineLevel="0" collapsed="false">
      <c r="A97" s="65" t="str">
        <f aca="false">IF('Invoice &amp; Delivery Log'!$A97="","",'Invoice &amp; Delivery Log'!$A97)</f>
        <v/>
      </c>
      <c r="B97" s="59" t="str">
        <f aca="false">IF('Invoice &amp; Delivery Log'!$A97="","",'Invoice &amp; Delivery Log'!$C97)</f>
        <v/>
      </c>
      <c r="C97" s="66" t="str">
        <f aca="false">IF('Invoice &amp; Delivery Log'!$A97="","",'Invoice &amp; Delivery Log'!$H97)</f>
        <v/>
      </c>
      <c r="D97" s="66" t="str">
        <f aca="false">IF('Invoice &amp; Delivery Log'!$A97="","",'Invoice &amp; Delivery Log'!$M97)</f>
        <v/>
      </c>
      <c r="E97" s="71" t="str">
        <f aca="false">IF('Invoice &amp; Delivery Log'!$A97="","",IF('Invoice &amp; Delivery Log'!$Y97="Yes",'Invoice &amp; Delivery Log'!$P97,""))</f>
        <v/>
      </c>
      <c r="F97" s="52" t="str">
        <f aca="false">IF(OR($E97="",$D97=""),"",$D97-Settings!$C$5)</f>
        <v/>
      </c>
      <c r="G97" s="53" t="str">
        <f aca="false">IF($A97="","",IF($E97="","Closed",IF($F97="","No Due Date",IF($F97&lt;0,"Overdue",IF($F97&lt;=Settings!$C$11,"Due in 0-7 Days",IF($F97&lt;=2*Settings!$C$11,"Due in 8-14 Days",IF($F97&lt;=Settings!$C$12,"Due in 15-30 Days","Due in 31+ Days")))))))</f>
        <v/>
      </c>
      <c r="H97" s="49" t="str">
        <f aca="false">IF('Invoice &amp; Delivery Log'!$Z97="","",'Invoice &amp; Delivery Log'!$Z97)</f>
        <v/>
      </c>
      <c r="I97" s="56"/>
      <c r="J97" s="58"/>
      <c r="K97" s="50" t="str">
        <f aca="false">IF($E97="","",ROUND($E97-N($J97),2))</f>
        <v/>
      </c>
      <c r="L97" s="62" t="str">
        <f aca="false">IF($A97="","",IF($E97="","No action needed",IF(AND(N($J97)&gt;0,$I97=""),"Missing planned date",IF(ROUND(N($J97)-$E97,2)&gt;0,"Planned amount exceeds balance",IF(AND($I97&lt;&gt;"",$I97&lt;Settings!$C$5),"Planned date is in the past",IF(N($J97)&lt;=0,"Not planned yet",IF(ROUND($K97,2)&lt;=0,"Fully planned","Partly planned")))))))</f>
        <v/>
      </c>
    </row>
    <row r="98" customFormat="false" ht="15" hidden="false" customHeight="true" outlineLevel="0" collapsed="false">
      <c r="A98" s="63" t="str">
        <f aca="false">IF('Invoice &amp; Delivery Log'!$A98="","",'Invoice &amp; Delivery Log'!$A98)</f>
        <v/>
      </c>
      <c r="B98" s="55" t="str">
        <f aca="false">IF('Invoice &amp; Delivery Log'!$A98="","",'Invoice &amp; Delivery Log'!$C98)</f>
        <v/>
      </c>
      <c r="C98" s="64" t="str">
        <f aca="false">IF('Invoice &amp; Delivery Log'!$A98="","",'Invoice &amp; Delivery Log'!$H98)</f>
        <v/>
      </c>
      <c r="D98" s="64" t="str">
        <f aca="false">IF('Invoice &amp; Delivery Log'!$A98="","",'Invoice &amp; Delivery Log'!$M98)</f>
        <v/>
      </c>
      <c r="E98" s="70" t="str">
        <f aca="false">IF('Invoice &amp; Delivery Log'!$A98="","",IF('Invoice &amp; Delivery Log'!$Y98="Yes",'Invoice &amp; Delivery Log'!$P98,""))</f>
        <v/>
      </c>
      <c r="F98" s="47" t="str">
        <f aca="false">IF(OR($E98="",$D98=""),"",$D98-Settings!$C$5)</f>
        <v/>
      </c>
      <c r="G98" s="36" t="str">
        <f aca="false">IF($A98="","",IF($E98="","Closed",IF($F98="","No Due Date",IF($F98&lt;0,"Overdue",IF($F98&lt;=Settings!$C$11,"Due in 0-7 Days",IF($F98&lt;=2*Settings!$C$11,"Due in 8-14 Days",IF($F98&lt;=Settings!$C$12,"Due in 15-30 Days","Due in 31+ Days")))))))</f>
        <v/>
      </c>
      <c r="H98" s="29" t="str">
        <f aca="false">IF('Invoice &amp; Delivery Log'!$Z98="","",'Invoice &amp; Delivery Log'!$Z98)</f>
        <v/>
      </c>
      <c r="I98" s="56"/>
      <c r="J98" s="58"/>
      <c r="K98" s="30" t="str">
        <f aca="false">IF($E98="","",ROUND($E98-N($J98),2))</f>
        <v/>
      </c>
      <c r="L98" s="28" t="str">
        <f aca="false">IF($A98="","",IF($E98="","No action needed",IF(AND(N($J98)&gt;0,$I98=""),"Missing planned date",IF(ROUND(N($J98)-$E98,2)&gt;0,"Planned amount exceeds balance",IF(AND($I98&lt;&gt;"",$I98&lt;Settings!$C$5),"Planned date is in the past",IF(N($J98)&lt;=0,"Not planned yet",IF(ROUND($K98,2)&lt;=0,"Fully planned","Partly planned")))))))</f>
        <v/>
      </c>
    </row>
    <row r="99" customFormat="false" ht="15" hidden="false" customHeight="true" outlineLevel="0" collapsed="false">
      <c r="A99" s="65" t="str">
        <f aca="false">IF('Invoice &amp; Delivery Log'!$A99="","",'Invoice &amp; Delivery Log'!$A99)</f>
        <v/>
      </c>
      <c r="B99" s="59" t="str">
        <f aca="false">IF('Invoice &amp; Delivery Log'!$A99="","",'Invoice &amp; Delivery Log'!$C99)</f>
        <v/>
      </c>
      <c r="C99" s="66" t="str">
        <f aca="false">IF('Invoice &amp; Delivery Log'!$A99="","",'Invoice &amp; Delivery Log'!$H99)</f>
        <v/>
      </c>
      <c r="D99" s="66" t="str">
        <f aca="false">IF('Invoice &amp; Delivery Log'!$A99="","",'Invoice &amp; Delivery Log'!$M99)</f>
        <v/>
      </c>
      <c r="E99" s="71" t="str">
        <f aca="false">IF('Invoice &amp; Delivery Log'!$A99="","",IF('Invoice &amp; Delivery Log'!$Y99="Yes",'Invoice &amp; Delivery Log'!$P99,""))</f>
        <v/>
      </c>
      <c r="F99" s="52" t="str">
        <f aca="false">IF(OR($E99="",$D99=""),"",$D99-Settings!$C$5)</f>
        <v/>
      </c>
      <c r="G99" s="53" t="str">
        <f aca="false">IF($A99="","",IF($E99="","Closed",IF($F99="","No Due Date",IF($F99&lt;0,"Overdue",IF($F99&lt;=Settings!$C$11,"Due in 0-7 Days",IF($F99&lt;=2*Settings!$C$11,"Due in 8-14 Days",IF($F99&lt;=Settings!$C$12,"Due in 15-30 Days","Due in 31+ Days")))))))</f>
        <v/>
      </c>
      <c r="H99" s="49" t="str">
        <f aca="false">IF('Invoice &amp; Delivery Log'!$Z99="","",'Invoice &amp; Delivery Log'!$Z99)</f>
        <v/>
      </c>
      <c r="I99" s="56"/>
      <c r="J99" s="58"/>
      <c r="K99" s="50" t="str">
        <f aca="false">IF($E99="","",ROUND($E99-N($J99),2))</f>
        <v/>
      </c>
      <c r="L99" s="62" t="str">
        <f aca="false">IF($A99="","",IF($E99="","No action needed",IF(AND(N($J99)&gt;0,$I99=""),"Missing planned date",IF(ROUND(N($J99)-$E99,2)&gt;0,"Planned amount exceeds balance",IF(AND($I99&lt;&gt;"",$I99&lt;Settings!$C$5),"Planned date is in the past",IF(N($J99)&lt;=0,"Not planned yet",IF(ROUND($K99,2)&lt;=0,"Fully planned","Partly planned")))))))</f>
        <v/>
      </c>
    </row>
    <row r="100" customFormat="false" ht="15" hidden="false" customHeight="true" outlineLevel="0" collapsed="false">
      <c r="A100" s="63" t="str">
        <f aca="false">IF('Invoice &amp; Delivery Log'!$A100="","",'Invoice &amp; Delivery Log'!$A100)</f>
        <v/>
      </c>
      <c r="B100" s="55" t="str">
        <f aca="false">IF('Invoice &amp; Delivery Log'!$A100="","",'Invoice &amp; Delivery Log'!$C100)</f>
        <v/>
      </c>
      <c r="C100" s="64" t="str">
        <f aca="false">IF('Invoice &amp; Delivery Log'!$A100="","",'Invoice &amp; Delivery Log'!$H100)</f>
        <v/>
      </c>
      <c r="D100" s="64" t="str">
        <f aca="false">IF('Invoice &amp; Delivery Log'!$A100="","",'Invoice &amp; Delivery Log'!$M100)</f>
        <v/>
      </c>
      <c r="E100" s="70" t="str">
        <f aca="false">IF('Invoice &amp; Delivery Log'!$A100="","",IF('Invoice &amp; Delivery Log'!$Y100="Yes",'Invoice &amp; Delivery Log'!$P100,""))</f>
        <v/>
      </c>
      <c r="F100" s="47" t="str">
        <f aca="false">IF(OR($E100="",$D100=""),"",$D100-Settings!$C$5)</f>
        <v/>
      </c>
      <c r="G100" s="36" t="str">
        <f aca="false">IF($A100="","",IF($E100="","Closed",IF($F100="","No Due Date",IF($F100&lt;0,"Overdue",IF($F100&lt;=Settings!$C$11,"Due in 0-7 Days",IF($F100&lt;=2*Settings!$C$11,"Due in 8-14 Days",IF($F100&lt;=Settings!$C$12,"Due in 15-30 Days","Due in 31+ Days")))))))</f>
        <v/>
      </c>
      <c r="H100" s="29" t="str">
        <f aca="false">IF('Invoice &amp; Delivery Log'!$Z100="","",'Invoice &amp; Delivery Log'!$Z100)</f>
        <v/>
      </c>
      <c r="I100" s="56"/>
      <c r="J100" s="58"/>
      <c r="K100" s="30" t="str">
        <f aca="false">IF($E100="","",ROUND($E100-N($J100),2))</f>
        <v/>
      </c>
      <c r="L100" s="28" t="str">
        <f aca="false">IF($A100="","",IF($E100="","No action needed",IF(AND(N($J100)&gt;0,$I100=""),"Missing planned date",IF(ROUND(N($J100)-$E100,2)&gt;0,"Planned amount exceeds balance",IF(AND($I100&lt;&gt;"",$I100&lt;Settings!$C$5),"Planned date is in the past",IF(N($J100)&lt;=0,"Not planned yet",IF(ROUND($K100,2)&lt;=0,"Fully planned","Partly planned")))))))</f>
        <v/>
      </c>
    </row>
    <row r="101" customFormat="false" ht="15" hidden="false" customHeight="true" outlineLevel="0" collapsed="false">
      <c r="A101" s="65" t="str">
        <f aca="false">IF('Invoice &amp; Delivery Log'!$A101="","",'Invoice &amp; Delivery Log'!$A101)</f>
        <v/>
      </c>
      <c r="B101" s="59" t="str">
        <f aca="false">IF('Invoice &amp; Delivery Log'!$A101="","",'Invoice &amp; Delivery Log'!$C101)</f>
        <v/>
      </c>
      <c r="C101" s="66" t="str">
        <f aca="false">IF('Invoice &amp; Delivery Log'!$A101="","",'Invoice &amp; Delivery Log'!$H101)</f>
        <v/>
      </c>
      <c r="D101" s="66" t="str">
        <f aca="false">IF('Invoice &amp; Delivery Log'!$A101="","",'Invoice &amp; Delivery Log'!$M101)</f>
        <v/>
      </c>
      <c r="E101" s="71" t="str">
        <f aca="false">IF('Invoice &amp; Delivery Log'!$A101="","",IF('Invoice &amp; Delivery Log'!$Y101="Yes",'Invoice &amp; Delivery Log'!$P101,""))</f>
        <v/>
      </c>
      <c r="F101" s="52" t="str">
        <f aca="false">IF(OR($E101="",$D101=""),"",$D101-Settings!$C$5)</f>
        <v/>
      </c>
      <c r="G101" s="53" t="str">
        <f aca="false">IF($A101="","",IF($E101="","Closed",IF($F101="","No Due Date",IF($F101&lt;0,"Overdue",IF($F101&lt;=Settings!$C$11,"Due in 0-7 Days",IF($F101&lt;=2*Settings!$C$11,"Due in 8-14 Days",IF($F101&lt;=Settings!$C$12,"Due in 15-30 Days","Due in 31+ Days")))))))</f>
        <v/>
      </c>
      <c r="H101" s="49" t="str">
        <f aca="false">IF('Invoice &amp; Delivery Log'!$Z101="","",'Invoice &amp; Delivery Log'!$Z101)</f>
        <v/>
      </c>
      <c r="I101" s="56"/>
      <c r="J101" s="58"/>
      <c r="K101" s="50" t="str">
        <f aca="false">IF($E101="","",ROUND($E101-N($J101),2))</f>
        <v/>
      </c>
      <c r="L101" s="62" t="str">
        <f aca="false">IF($A101="","",IF($E101="","No action needed",IF(AND(N($J101)&gt;0,$I101=""),"Missing planned date",IF(ROUND(N($J101)-$E101,2)&gt;0,"Planned amount exceeds balance",IF(AND($I101&lt;&gt;"",$I101&lt;Settings!$C$5),"Planned date is in the past",IF(N($J101)&lt;=0,"Not planned yet",IF(ROUND($K101,2)&lt;=0,"Fully planned","Partly planned")))))))</f>
        <v/>
      </c>
    </row>
    <row r="102" customFormat="false" ht="15" hidden="false" customHeight="true" outlineLevel="0" collapsed="false">
      <c r="A102" s="63" t="str">
        <f aca="false">IF('Invoice &amp; Delivery Log'!$A102="","",'Invoice &amp; Delivery Log'!$A102)</f>
        <v/>
      </c>
      <c r="B102" s="55" t="str">
        <f aca="false">IF('Invoice &amp; Delivery Log'!$A102="","",'Invoice &amp; Delivery Log'!$C102)</f>
        <v/>
      </c>
      <c r="C102" s="64" t="str">
        <f aca="false">IF('Invoice &amp; Delivery Log'!$A102="","",'Invoice &amp; Delivery Log'!$H102)</f>
        <v/>
      </c>
      <c r="D102" s="64" t="str">
        <f aca="false">IF('Invoice &amp; Delivery Log'!$A102="","",'Invoice &amp; Delivery Log'!$M102)</f>
        <v/>
      </c>
      <c r="E102" s="70" t="str">
        <f aca="false">IF('Invoice &amp; Delivery Log'!$A102="","",IF('Invoice &amp; Delivery Log'!$Y102="Yes",'Invoice &amp; Delivery Log'!$P102,""))</f>
        <v/>
      </c>
      <c r="F102" s="47" t="str">
        <f aca="false">IF(OR($E102="",$D102=""),"",$D102-Settings!$C$5)</f>
        <v/>
      </c>
      <c r="G102" s="36" t="str">
        <f aca="false">IF($A102="","",IF($E102="","Closed",IF($F102="","No Due Date",IF($F102&lt;0,"Overdue",IF($F102&lt;=Settings!$C$11,"Due in 0-7 Days",IF($F102&lt;=2*Settings!$C$11,"Due in 8-14 Days",IF($F102&lt;=Settings!$C$12,"Due in 15-30 Days","Due in 31+ Days")))))))</f>
        <v/>
      </c>
      <c r="H102" s="29" t="str">
        <f aca="false">IF('Invoice &amp; Delivery Log'!$Z102="","",'Invoice &amp; Delivery Log'!$Z102)</f>
        <v/>
      </c>
      <c r="I102" s="56"/>
      <c r="J102" s="58"/>
      <c r="K102" s="30" t="str">
        <f aca="false">IF($E102="","",ROUND($E102-N($J102),2))</f>
        <v/>
      </c>
      <c r="L102" s="28" t="str">
        <f aca="false">IF($A102="","",IF($E102="","No action needed",IF(AND(N($J102)&gt;0,$I102=""),"Missing planned date",IF(ROUND(N($J102)-$E102,2)&gt;0,"Planned amount exceeds balance",IF(AND($I102&lt;&gt;"",$I102&lt;Settings!$C$5),"Planned date is in the past",IF(N($J102)&lt;=0,"Not planned yet",IF(ROUND($K102,2)&lt;=0,"Fully planned","Partly planned")))))))</f>
        <v/>
      </c>
    </row>
    <row r="103" customFormat="false" ht="15" hidden="false" customHeight="true" outlineLevel="0" collapsed="false">
      <c r="A103" s="65" t="str">
        <f aca="false">IF('Invoice &amp; Delivery Log'!$A103="","",'Invoice &amp; Delivery Log'!$A103)</f>
        <v/>
      </c>
      <c r="B103" s="59" t="str">
        <f aca="false">IF('Invoice &amp; Delivery Log'!$A103="","",'Invoice &amp; Delivery Log'!$C103)</f>
        <v/>
      </c>
      <c r="C103" s="66" t="str">
        <f aca="false">IF('Invoice &amp; Delivery Log'!$A103="","",'Invoice &amp; Delivery Log'!$H103)</f>
        <v/>
      </c>
      <c r="D103" s="66" t="str">
        <f aca="false">IF('Invoice &amp; Delivery Log'!$A103="","",'Invoice &amp; Delivery Log'!$M103)</f>
        <v/>
      </c>
      <c r="E103" s="71" t="str">
        <f aca="false">IF('Invoice &amp; Delivery Log'!$A103="","",IF('Invoice &amp; Delivery Log'!$Y103="Yes",'Invoice &amp; Delivery Log'!$P103,""))</f>
        <v/>
      </c>
      <c r="F103" s="52" t="str">
        <f aca="false">IF(OR($E103="",$D103=""),"",$D103-Settings!$C$5)</f>
        <v/>
      </c>
      <c r="G103" s="53" t="str">
        <f aca="false">IF($A103="","",IF($E103="","Closed",IF($F103="","No Due Date",IF($F103&lt;0,"Overdue",IF($F103&lt;=Settings!$C$11,"Due in 0-7 Days",IF($F103&lt;=2*Settings!$C$11,"Due in 8-14 Days",IF($F103&lt;=Settings!$C$12,"Due in 15-30 Days","Due in 31+ Days")))))))</f>
        <v/>
      </c>
      <c r="H103" s="49" t="str">
        <f aca="false">IF('Invoice &amp; Delivery Log'!$Z103="","",'Invoice &amp; Delivery Log'!$Z103)</f>
        <v/>
      </c>
      <c r="I103" s="56"/>
      <c r="J103" s="58"/>
      <c r="K103" s="50" t="str">
        <f aca="false">IF($E103="","",ROUND($E103-N($J103),2))</f>
        <v/>
      </c>
      <c r="L103" s="62" t="str">
        <f aca="false">IF($A103="","",IF($E103="","No action needed",IF(AND(N($J103)&gt;0,$I103=""),"Missing planned date",IF(ROUND(N($J103)-$E103,2)&gt;0,"Planned amount exceeds balance",IF(AND($I103&lt;&gt;"",$I103&lt;Settings!$C$5),"Planned date is in the past",IF(N($J103)&lt;=0,"Not planned yet",IF(ROUND($K103,2)&lt;=0,"Fully planned","Partly planned")))))))</f>
        <v/>
      </c>
    </row>
    <row r="104" customFormat="false" ht="15" hidden="false" customHeight="true" outlineLevel="0" collapsed="false">
      <c r="A104" s="63" t="str">
        <f aca="false">IF('Invoice &amp; Delivery Log'!$A104="","",'Invoice &amp; Delivery Log'!$A104)</f>
        <v/>
      </c>
      <c r="B104" s="55" t="str">
        <f aca="false">IF('Invoice &amp; Delivery Log'!$A104="","",'Invoice &amp; Delivery Log'!$C104)</f>
        <v/>
      </c>
      <c r="C104" s="64" t="str">
        <f aca="false">IF('Invoice &amp; Delivery Log'!$A104="","",'Invoice &amp; Delivery Log'!$H104)</f>
        <v/>
      </c>
      <c r="D104" s="64" t="str">
        <f aca="false">IF('Invoice &amp; Delivery Log'!$A104="","",'Invoice &amp; Delivery Log'!$M104)</f>
        <v/>
      </c>
      <c r="E104" s="70" t="str">
        <f aca="false">IF('Invoice &amp; Delivery Log'!$A104="","",IF('Invoice &amp; Delivery Log'!$Y104="Yes",'Invoice &amp; Delivery Log'!$P104,""))</f>
        <v/>
      </c>
      <c r="F104" s="47" t="str">
        <f aca="false">IF(OR($E104="",$D104=""),"",$D104-Settings!$C$5)</f>
        <v/>
      </c>
      <c r="G104" s="36" t="str">
        <f aca="false">IF($A104="","",IF($E104="","Closed",IF($F104="","No Due Date",IF($F104&lt;0,"Overdue",IF($F104&lt;=Settings!$C$11,"Due in 0-7 Days",IF($F104&lt;=2*Settings!$C$11,"Due in 8-14 Days",IF($F104&lt;=Settings!$C$12,"Due in 15-30 Days","Due in 31+ Days")))))))</f>
        <v/>
      </c>
      <c r="H104" s="29" t="str">
        <f aca="false">IF('Invoice &amp; Delivery Log'!$Z104="","",'Invoice &amp; Delivery Log'!$Z104)</f>
        <v/>
      </c>
      <c r="I104" s="56"/>
      <c r="J104" s="58"/>
      <c r="K104" s="30" t="str">
        <f aca="false">IF($E104="","",ROUND($E104-N($J104),2))</f>
        <v/>
      </c>
      <c r="L104" s="28" t="str">
        <f aca="false">IF($A104="","",IF($E104="","No action needed",IF(AND(N($J104)&gt;0,$I104=""),"Missing planned date",IF(ROUND(N($J104)-$E104,2)&gt;0,"Planned amount exceeds balance",IF(AND($I104&lt;&gt;"",$I104&lt;Settings!$C$5),"Planned date is in the past",IF(N($J104)&lt;=0,"Not planned yet",IF(ROUND($K104,2)&lt;=0,"Fully planned","Partly planned")))))))</f>
        <v/>
      </c>
    </row>
    <row r="105" customFormat="false" ht="15" hidden="false" customHeight="true" outlineLevel="0" collapsed="false">
      <c r="A105" s="65" t="str">
        <f aca="false">IF('Invoice &amp; Delivery Log'!$A105="","",'Invoice &amp; Delivery Log'!$A105)</f>
        <v/>
      </c>
      <c r="B105" s="59" t="str">
        <f aca="false">IF('Invoice &amp; Delivery Log'!$A105="","",'Invoice &amp; Delivery Log'!$C105)</f>
        <v/>
      </c>
      <c r="C105" s="66" t="str">
        <f aca="false">IF('Invoice &amp; Delivery Log'!$A105="","",'Invoice &amp; Delivery Log'!$H105)</f>
        <v/>
      </c>
      <c r="D105" s="66" t="str">
        <f aca="false">IF('Invoice &amp; Delivery Log'!$A105="","",'Invoice &amp; Delivery Log'!$M105)</f>
        <v/>
      </c>
      <c r="E105" s="71" t="str">
        <f aca="false">IF('Invoice &amp; Delivery Log'!$A105="","",IF('Invoice &amp; Delivery Log'!$Y105="Yes",'Invoice &amp; Delivery Log'!$P105,""))</f>
        <v/>
      </c>
      <c r="F105" s="52" t="str">
        <f aca="false">IF(OR($E105="",$D105=""),"",$D105-Settings!$C$5)</f>
        <v/>
      </c>
      <c r="G105" s="53" t="str">
        <f aca="false">IF($A105="","",IF($E105="","Closed",IF($F105="","No Due Date",IF($F105&lt;0,"Overdue",IF($F105&lt;=Settings!$C$11,"Due in 0-7 Days",IF($F105&lt;=2*Settings!$C$11,"Due in 8-14 Days",IF($F105&lt;=Settings!$C$12,"Due in 15-30 Days","Due in 31+ Days")))))))</f>
        <v/>
      </c>
      <c r="H105" s="49" t="str">
        <f aca="false">IF('Invoice &amp; Delivery Log'!$Z105="","",'Invoice &amp; Delivery Log'!$Z105)</f>
        <v/>
      </c>
      <c r="I105" s="56"/>
      <c r="J105" s="58"/>
      <c r="K105" s="50" t="str">
        <f aca="false">IF($E105="","",ROUND($E105-N($J105),2))</f>
        <v/>
      </c>
      <c r="L105" s="62" t="str">
        <f aca="false">IF($A105="","",IF($E105="","No action needed",IF(AND(N($J105)&gt;0,$I105=""),"Missing planned date",IF(ROUND(N($J105)-$E105,2)&gt;0,"Planned amount exceeds balance",IF(AND($I105&lt;&gt;"",$I105&lt;Settings!$C$5),"Planned date is in the past",IF(N($J105)&lt;=0,"Not planned yet",IF(ROUND($K105,2)&lt;=0,"Fully planned","Partly planned")))))))</f>
        <v/>
      </c>
    </row>
    <row r="106" customFormat="false" ht="15" hidden="false" customHeight="true" outlineLevel="0" collapsed="false">
      <c r="A106" s="63" t="str">
        <f aca="false">IF('Invoice &amp; Delivery Log'!$A106="","",'Invoice &amp; Delivery Log'!$A106)</f>
        <v/>
      </c>
      <c r="B106" s="55" t="str">
        <f aca="false">IF('Invoice &amp; Delivery Log'!$A106="","",'Invoice &amp; Delivery Log'!$C106)</f>
        <v/>
      </c>
      <c r="C106" s="64" t="str">
        <f aca="false">IF('Invoice &amp; Delivery Log'!$A106="","",'Invoice &amp; Delivery Log'!$H106)</f>
        <v/>
      </c>
      <c r="D106" s="64" t="str">
        <f aca="false">IF('Invoice &amp; Delivery Log'!$A106="","",'Invoice &amp; Delivery Log'!$M106)</f>
        <v/>
      </c>
      <c r="E106" s="70" t="str">
        <f aca="false">IF('Invoice &amp; Delivery Log'!$A106="","",IF('Invoice &amp; Delivery Log'!$Y106="Yes",'Invoice &amp; Delivery Log'!$P106,""))</f>
        <v/>
      </c>
      <c r="F106" s="47" t="str">
        <f aca="false">IF(OR($E106="",$D106=""),"",$D106-Settings!$C$5)</f>
        <v/>
      </c>
      <c r="G106" s="36" t="str">
        <f aca="false">IF($A106="","",IF($E106="","Closed",IF($F106="","No Due Date",IF($F106&lt;0,"Overdue",IF($F106&lt;=Settings!$C$11,"Due in 0-7 Days",IF($F106&lt;=2*Settings!$C$11,"Due in 8-14 Days",IF($F106&lt;=Settings!$C$12,"Due in 15-30 Days","Due in 31+ Days")))))))</f>
        <v/>
      </c>
      <c r="H106" s="29" t="str">
        <f aca="false">IF('Invoice &amp; Delivery Log'!$Z106="","",'Invoice &amp; Delivery Log'!$Z106)</f>
        <v/>
      </c>
      <c r="I106" s="56"/>
      <c r="J106" s="58"/>
      <c r="K106" s="30" t="str">
        <f aca="false">IF($E106="","",ROUND($E106-N($J106),2))</f>
        <v/>
      </c>
      <c r="L106" s="28" t="str">
        <f aca="false">IF($A106="","",IF($E106="","No action needed",IF(AND(N($J106)&gt;0,$I106=""),"Missing planned date",IF(ROUND(N($J106)-$E106,2)&gt;0,"Planned amount exceeds balance",IF(AND($I106&lt;&gt;"",$I106&lt;Settings!$C$5),"Planned date is in the past",IF(N($J106)&lt;=0,"Not planned yet",IF(ROUND($K106,2)&lt;=0,"Fully planned","Partly planned")))))))</f>
        <v/>
      </c>
    </row>
    <row r="107" customFormat="false" ht="15" hidden="false" customHeight="true" outlineLevel="0" collapsed="false">
      <c r="A107" s="65" t="str">
        <f aca="false">IF('Invoice &amp; Delivery Log'!$A107="","",'Invoice &amp; Delivery Log'!$A107)</f>
        <v/>
      </c>
      <c r="B107" s="59" t="str">
        <f aca="false">IF('Invoice &amp; Delivery Log'!$A107="","",'Invoice &amp; Delivery Log'!$C107)</f>
        <v/>
      </c>
      <c r="C107" s="66" t="str">
        <f aca="false">IF('Invoice &amp; Delivery Log'!$A107="","",'Invoice &amp; Delivery Log'!$H107)</f>
        <v/>
      </c>
      <c r="D107" s="66" t="str">
        <f aca="false">IF('Invoice &amp; Delivery Log'!$A107="","",'Invoice &amp; Delivery Log'!$M107)</f>
        <v/>
      </c>
      <c r="E107" s="71" t="str">
        <f aca="false">IF('Invoice &amp; Delivery Log'!$A107="","",IF('Invoice &amp; Delivery Log'!$Y107="Yes",'Invoice &amp; Delivery Log'!$P107,""))</f>
        <v/>
      </c>
      <c r="F107" s="52" t="str">
        <f aca="false">IF(OR($E107="",$D107=""),"",$D107-Settings!$C$5)</f>
        <v/>
      </c>
      <c r="G107" s="53" t="str">
        <f aca="false">IF($A107="","",IF($E107="","Closed",IF($F107="","No Due Date",IF($F107&lt;0,"Overdue",IF($F107&lt;=Settings!$C$11,"Due in 0-7 Days",IF($F107&lt;=2*Settings!$C$11,"Due in 8-14 Days",IF($F107&lt;=Settings!$C$12,"Due in 15-30 Days","Due in 31+ Days")))))))</f>
        <v/>
      </c>
      <c r="H107" s="49" t="str">
        <f aca="false">IF('Invoice &amp; Delivery Log'!$Z107="","",'Invoice &amp; Delivery Log'!$Z107)</f>
        <v/>
      </c>
      <c r="I107" s="56"/>
      <c r="J107" s="58"/>
      <c r="K107" s="50" t="str">
        <f aca="false">IF($E107="","",ROUND($E107-N($J107),2))</f>
        <v/>
      </c>
      <c r="L107" s="62" t="str">
        <f aca="false">IF($A107="","",IF($E107="","No action needed",IF(AND(N($J107)&gt;0,$I107=""),"Missing planned date",IF(ROUND(N($J107)-$E107,2)&gt;0,"Planned amount exceeds balance",IF(AND($I107&lt;&gt;"",$I107&lt;Settings!$C$5),"Planned date is in the past",IF(N($J107)&lt;=0,"Not planned yet",IF(ROUND($K107,2)&lt;=0,"Fully planned","Partly planned")))))))</f>
        <v/>
      </c>
    </row>
    <row r="108" customFormat="false" ht="15" hidden="false" customHeight="true" outlineLevel="0" collapsed="false">
      <c r="A108" s="63" t="str">
        <f aca="false">IF('Invoice &amp; Delivery Log'!$A108="","",'Invoice &amp; Delivery Log'!$A108)</f>
        <v/>
      </c>
      <c r="B108" s="55" t="str">
        <f aca="false">IF('Invoice &amp; Delivery Log'!$A108="","",'Invoice &amp; Delivery Log'!$C108)</f>
        <v/>
      </c>
      <c r="C108" s="64" t="str">
        <f aca="false">IF('Invoice &amp; Delivery Log'!$A108="","",'Invoice &amp; Delivery Log'!$H108)</f>
        <v/>
      </c>
      <c r="D108" s="64" t="str">
        <f aca="false">IF('Invoice &amp; Delivery Log'!$A108="","",'Invoice &amp; Delivery Log'!$M108)</f>
        <v/>
      </c>
      <c r="E108" s="70" t="str">
        <f aca="false">IF('Invoice &amp; Delivery Log'!$A108="","",IF('Invoice &amp; Delivery Log'!$Y108="Yes",'Invoice &amp; Delivery Log'!$P108,""))</f>
        <v/>
      </c>
      <c r="F108" s="47" t="str">
        <f aca="false">IF(OR($E108="",$D108=""),"",$D108-Settings!$C$5)</f>
        <v/>
      </c>
      <c r="G108" s="36" t="str">
        <f aca="false">IF($A108="","",IF($E108="","Closed",IF($F108="","No Due Date",IF($F108&lt;0,"Overdue",IF($F108&lt;=Settings!$C$11,"Due in 0-7 Days",IF($F108&lt;=2*Settings!$C$11,"Due in 8-14 Days",IF($F108&lt;=Settings!$C$12,"Due in 15-30 Days","Due in 31+ Days")))))))</f>
        <v/>
      </c>
      <c r="H108" s="29" t="str">
        <f aca="false">IF('Invoice &amp; Delivery Log'!$Z108="","",'Invoice &amp; Delivery Log'!$Z108)</f>
        <v/>
      </c>
      <c r="I108" s="56"/>
      <c r="J108" s="58"/>
      <c r="K108" s="30" t="str">
        <f aca="false">IF($E108="","",ROUND($E108-N($J108),2))</f>
        <v/>
      </c>
      <c r="L108" s="28" t="str">
        <f aca="false">IF($A108="","",IF($E108="","No action needed",IF(AND(N($J108)&gt;0,$I108=""),"Missing planned date",IF(ROUND(N($J108)-$E108,2)&gt;0,"Planned amount exceeds balance",IF(AND($I108&lt;&gt;"",$I108&lt;Settings!$C$5),"Planned date is in the past",IF(N($J108)&lt;=0,"Not planned yet",IF(ROUND($K108,2)&lt;=0,"Fully planned","Partly planned")))))))</f>
        <v/>
      </c>
    </row>
    <row r="109" customFormat="false" ht="15" hidden="false" customHeight="true" outlineLevel="0" collapsed="false">
      <c r="A109" s="65" t="str">
        <f aca="false">IF('Invoice &amp; Delivery Log'!$A109="","",'Invoice &amp; Delivery Log'!$A109)</f>
        <v/>
      </c>
      <c r="B109" s="59" t="str">
        <f aca="false">IF('Invoice &amp; Delivery Log'!$A109="","",'Invoice &amp; Delivery Log'!$C109)</f>
        <v/>
      </c>
      <c r="C109" s="66" t="str">
        <f aca="false">IF('Invoice &amp; Delivery Log'!$A109="","",'Invoice &amp; Delivery Log'!$H109)</f>
        <v/>
      </c>
      <c r="D109" s="66" t="str">
        <f aca="false">IF('Invoice &amp; Delivery Log'!$A109="","",'Invoice &amp; Delivery Log'!$M109)</f>
        <v/>
      </c>
      <c r="E109" s="71" t="str">
        <f aca="false">IF('Invoice &amp; Delivery Log'!$A109="","",IF('Invoice &amp; Delivery Log'!$Y109="Yes",'Invoice &amp; Delivery Log'!$P109,""))</f>
        <v/>
      </c>
      <c r="F109" s="52" t="str">
        <f aca="false">IF(OR($E109="",$D109=""),"",$D109-Settings!$C$5)</f>
        <v/>
      </c>
      <c r="G109" s="53" t="str">
        <f aca="false">IF($A109="","",IF($E109="","Closed",IF($F109="","No Due Date",IF($F109&lt;0,"Overdue",IF($F109&lt;=Settings!$C$11,"Due in 0-7 Days",IF($F109&lt;=2*Settings!$C$11,"Due in 8-14 Days",IF($F109&lt;=Settings!$C$12,"Due in 15-30 Days","Due in 31+ Days")))))))</f>
        <v/>
      </c>
      <c r="H109" s="49" t="str">
        <f aca="false">IF('Invoice &amp; Delivery Log'!$Z109="","",'Invoice &amp; Delivery Log'!$Z109)</f>
        <v/>
      </c>
      <c r="I109" s="56"/>
      <c r="J109" s="58"/>
      <c r="K109" s="50" t="str">
        <f aca="false">IF($E109="","",ROUND($E109-N($J109),2))</f>
        <v/>
      </c>
      <c r="L109" s="62" t="str">
        <f aca="false">IF($A109="","",IF($E109="","No action needed",IF(AND(N($J109)&gt;0,$I109=""),"Missing planned date",IF(ROUND(N($J109)-$E109,2)&gt;0,"Planned amount exceeds balance",IF(AND($I109&lt;&gt;"",$I109&lt;Settings!$C$5),"Planned date is in the past",IF(N($J109)&lt;=0,"Not planned yet",IF(ROUND($K109,2)&lt;=0,"Fully planned","Partly planned")))))))</f>
        <v/>
      </c>
    </row>
    <row r="110" customFormat="false" ht="15" hidden="false" customHeight="true" outlineLevel="0" collapsed="false">
      <c r="A110" s="63" t="str">
        <f aca="false">IF('Invoice &amp; Delivery Log'!$A110="","",'Invoice &amp; Delivery Log'!$A110)</f>
        <v/>
      </c>
      <c r="B110" s="55" t="str">
        <f aca="false">IF('Invoice &amp; Delivery Log'!$A110="","",'Invoice &amp; Delivery Log'!$C110)</f>
        <v/>
      </c>
      <c r="C110" s="64" t="str">
        <f aca="false">IF('Invoice &amp; Delivery Log'!$A110="","",'Invoice &amp; Delivery Log'!$H110)</f>
        <v/>
      </c>
      <c r="D110" s="64" t="str">
        <f aca="false">IF('Invoice &amp; Delivery Log'!$A110="","",'Invoice &amp; Delivery Log'!$M110)</f>
        <v/>
      </c>
      <c r="E110" s="70" t="str">
        <f aca="false">IF('Invoice &amp; Delivery Log'!$A110="","",IF('Invoice &amp; Delivery Log'!$Y110="Yes",'Invoice &amp; Delivery Log'!$P110,""))</f>
        <v/>
      </c>
      <c r="F110" s="47" t="str">
        <f aca="false">IF(OR($E110="",$D110=""),"",$D110-Settings!$C$5)</f>
        <v/>
      </c>
      <c r="G110" s="36" t="str">
        <f aca="false">IF($A110="","",IF($E110="","Closed",IF($F110="","No Due Date",IF($F110&lt;0,"Overdue",IF($F110&lt;=Settings!$C$11,"Due in 0-7 Days",IF($F110&lt;=2*Settings!$C$11,"Due in 8-14 Days",IF($F110&lt;=Settings!$C$12,"Due in 15-30 Days","Due in 31+ Days")))))))</f>
        <v/>
      </c>
      <c r="H110" s="29" t="str">
        <f aca="false">IF('Invoice &amp; Delivery Log'!$Z110="","",'Invoice &amp; Delivery Log'!$Z110)</f>
        <v/>
      </c>
      <c r="I110" s="56"/>
      <c r="J110" s="58"/>
      <c r="K110" s="30" t="str">
        <f aca="false">IF($E110="","",ROUND($E110-N($J110),2))</f>
        <v/>
      </c>
      <c r="L110" s="28" t="str">
        <f aca="false">IF($A110="","",IF($E110="","No action needed",IF(AND(N($J110)&gt;0,$I110=""),"Missing planned date",IF(ROUND(N($J110)-$E110,2)&gt;0,"Planned amount exceeds balance",IF(AND($I110&lt;&gt;"",$I110&lt;Settings!$C$5),"Planned date is in the past",IF(N($J110)&lt;=0,"Not planned yet",IF(ROUND($K110,2)&lt;=0,"Fully planned","Partly planned")))))))</f>
        <v/>
      </c>
    </row>
    <row r="111" customFormat="false" ht="15" hidden="false" customHeight="true" outlineLevel="0" collapsed="false">
      <c r="A111" s="65" t="str">
        <f aca="false">IF('Invoice &amp; Delivery Log'!$A111="","",'Invoice &amp; Delivery Log'!$A111)</f>
        <v/>
      </c>
      <c r="B111" s="59" t="str">
        <f aca="false">IF('Invoice &amp; Delivery Log'!$A111="","",'Invoice &amp; Delivery Log'!$C111)</f>
        <v/>
      </c>
      <c r="C111" s="66" t="str">
        <f aca="false">IF('Invoice &amp; Delivery Log'!$A111="","",'Invoice &amp; Delivery Log'!$H111)</f>
        <v/>
      </c>
      <c r="D111" s="66" t="str">
        <f aca="false">IF('Invoice &amp; Delivery Log'!$A111="","",'Invoice &amp; Delivery Log'!$M111)</f>
        <v/>
      </c>
      <c r="E111" s="71" t="str">
        <f aca="false">IF('Invoice &amp; Delivery Log'!$A111="","",IF('Invoice &amp; Delivery Log'!$Y111="Yes",'Invoice &amp; Delivery Log'!$P111,""))</f>
        <v/>
      </c>
      <c r="F111" s="52" t="str">
        <f aca="false">IF(OR($E111="",$D111=""),"",$D111-Settings!$C$5)</f>
        <v/>
      </c>
      <c r="G111" s="53" t="str">
        <f aca="false">IF($A111="","",IF($E111="","Closed",IF($F111="","No Due Date",IF($F111&lt;0,"Overdue",IF($F111&lt;=Settings!$C$11,"Due in 0-7 Days",IF($F111&lt;=2*Settings!$C$11,"Due in 8-14 Days",IF($F111&lt;=Settings!$C$12,"Due in 15-30 Days","Due in 31+ Days")))))))</f>
        <v/>
      </c>
      <c r="H111" s="49" t="str">
        <f aca="false">IF('Invoice &amp; Delivery Log'!$Z111="","",'Invoice &amp; Delivery Log'!$Z111)</f>
        <v/>
      </c>
      <c r="I111" s="56"/>
      <c r="J111" s="58"/>
      <c r="K111" s="50" t="str">
        <f aca="false">IF($E111="","",ROUND($E111-N($J111),2))</f>
        <v/>
      </c>
      <c r="L111" s="62" t="str">
        <f aca="false">IF($A111="","",IF($E111="","No action needed",IF(AND(N($J111)&gt;0,$I111=""),"Missing planned date",IF(ROUND(N($J111)-$E111,2)&gt;0,"Planned amount exceeds balance",IF(AND($I111&lt;&gt;"",$I111&lt;Settings!$C$5),"Planned date is in the past",IF(N($J111)&lt;=0,"Not planned yet",IF(ROUND($K111,2)&lt;=0,"Fully planned","Partly planned")))))))</f>
        <v/>
      </c>
    </row>
    <row r="112" customFormat="false" ht="15" hidden="false" customHeight="true" outlineLevel="0" collapsed="false">
      <c r="A112" s="63" t="str">
        <f aca="false">IF('Invoice &amp; Delivery Log'!$A112="","",'Invoice &amp; Delivery Log'!$A112)</f>
        <v/>
      </c>
      <c r="B112" s="55" t="str">
        <f aca="false">IF('Invoice &amp; Delivery Log'!$A112="","",'Invoice &amp; Delivery Log'!$C112)</f>
        <v/>
      </c>
      <c r="C112" s="64" t="str">
        <f aca="false">IF('Invoice &amp; Delivery Log'!$A112="","",'Invoice &amp; Delivery Log'!$H112)</f>
        <v/>
      </c>
      <c r="D112" s="64" t="str">
        <f aca="false">IF('Invoice &amp; Delivery Log'!$A112="","",'Invoice &amp; Delivery Log'!$M112)</f>
        <v/>
      </c>
      <c r="E112" s="70" t="str">
        <f aca="false">IF('Invoice &amp; Delivery Log'!$A112="","",IF('Invoice &amp; Delivery Log'!$Y112="Yes",'Invoice &amp; Delivery Log'!$P112,""))</f>
        <v/>
      </c>
      <c r="F112" s="47" t="str">
        <f aca="false">IF(OR($E112="",$D112=""),"",$D112-Settings!$C$5)</f>
        <v/>
      </c>
      <c r="G112" s="36" t="str">
        <f aca="false">IF($A112="","",IF($E112="","Closed",IF($F112="","No Due Date",IF($F112&lt;0,"Overdue",IF($F112&lt;=Settings!$C$11,"Due in 0-7 Days",IF($F112&lt;=2*Settings!$C$11,"Due in 8-14 Days",IF($F112&lt;=Settings!$C$12,"Due in 15-30 Days","Due in 31+ Days")))))))</f>
        <v/>
      </c>
      <c r="H112" s="29" t="str">
        <f aca="false">IF('Invoice &amp; Delivery Log'!$Z112="","",'Invoice &amp; Delivery Log'!$Z112)</f>
        <v/>
      </c>
      <c r="I112" s="56"/>
      <c r="J112" s="58"/>
      <c r="K112" s="30" t="str">
        <f aca="false">IF($E112="","",ROUND($E112-N($J112),2))</f>
        <v/>
      </c>
      <c r="L112" s="28" t="str">
        <f aca="false">IF($A112="","",IF($E112="","No action needed",IF(AND(N($J112)&gt;0,$I112=""),"Missing planned date",IF(ROUND(N($J112)-$E112,2)&gt;0,"Planned amount exceeds balance",IF(AND($I112&lt;&gt;"",$I112&lt;Settings!$C$5),"Planned date is in the past",IF(N($J112)&lt;=0,"Not planned yet",IF(ROUND($K112,2)&lt;=0,"Fully planned","Partly planned")))))))</f>
        <v/>
      </c>
    </row>
    <row r="113" customFormat="false" ht="15" hidden="false" customHeight="true" outlineLevel="0" collapsed="false">
      <c r="A113" s="65" t="str">
        <f aca="false">IF('Invoice &amp; Delivery Log'!$A113="","",'Invoice &amp; Delivery Log'!$A113)</f>
        <v/>
      </c>
      <c r="B113" s="59" t="str">
        <f aca="false">IF('Invoice &amp; Delivery Log'!$A113="","",'Invoice &amp; Delivery Log'!$C113)</f>
        <v/>
      </c>
      <c r="C113" s="66" t="str">
        <f aca="false">IF('Invoice &amp; Delivery Log'!$A113="","",'Invoice &amp; Delivery Log'!$H113)</f>
        <v/>
      </c>
      <c r="D113" s="66" t="str">
        <f aca="false">IF('Invoice &amp; Delivery Log'!$A113="","",'Invoice &amp; Delivery Log'!$M113)</f>
        <v/>
      </c>
      <c r="E113" s="71" t="str">
        <f aca="false">IF('Invoice &amp; Delivery Log'!$A113="","",IF('Invoice &amp; Delivery Log'!$Y113="Yes",'Invoice &amp; Delivery Log'!$P113,""))</f>
        <v/>
      </c>
      <c r="F113" s="52" t="str">
        <f aca="false">IF(OR($E113="",$D113=""),"",$D113-Settings!$C$5)</f>
        <v/>
      </c>
      <c r="G113" s="53" t="str">
        <f aca="false">IF($A113="","",IF($E113="","Closed",IF($F113="","No Due Date",IF($F113&lt;0,"Overdue",IF($F113&lt;=Settings!$C$11,"Due in 0-7 Days",IF($F113&lt;=2*Settings!$C$11,"Due in 8-14 Days",IF($F113&lt;=Settings!$C$12,"Due in 15-30 Days","Due in 31+ Days")))))))</f>
        <v/>
      </c>
      <c r="H113" s="49" t="str">
        <f aca="false">IF('Invoice &amp; Delivery Log'!$Z113="","",'Invoice &amp; Delivery Log'!$Z113)</f>
        <v/>
      </c>
      <c r="I113" s="56"/>
      <c r="J113" s="58"/>
      <c r="K113" s="50" t="str">
        <f aca="false">IF($E113="","",ROUND($E113-N($J113),2))</f>
        <v/>
      </c>
      <c r="L113" s="62" t="str">
        <f aca="false">IF($A113="","",IF($E113="","No action needed",IF(AND(N($J113)&gt;0,$I113=""),"Missing planned date",IF(ROUND(N($J113)-$E113,2)&gt;0,"Planned amount exceeds balance",IF(AND($I113&lt;&gt;"",$I113&lt;Settings!$C$5),"Planned date is in the past",IF(N($J113)&lt;=0,"Not planned yet",IF(ROUND($K113,2)&lt;=0,"Fully planned","Partly planned")))))))</f>
        <v/>
      </c>
    </row>
    <row r="114" customFormat="false" ht="15" hidden="false" customHeight="true" outlineLevel="0" collapsed="false">
      <c r="A114" s="63" t="str">
        <f aca="false">IF('Invoice &amp; Delivery Log'!$A114="","",'Invoice &amp; Delivery Log'!$A114)</f>
        <v/>
      </c>
      <c r="B114" s="55" t="str">
        <f aca="false">IF('Invoice &amp; Delivery Log'!$A114="","",'Invoice &amp; Delivery Log'!$C114)</f>
        <v/>
      </c>
      <c r="C114" s="64" t="str">
        <f aca="false">IF('Invoice &amp; Delivery Log'!$A114="","",'Invoice &amp; Delivery Log'!$H114)</f>
        <v/>
      </c>
      <c r="D114" s="64" t="str">
        <f aca="false">IF('Invoice &amp; Delivery Log'!$A114="","",'Invoice &amp; Delivery Log'!$M114)</f>
        <v/>
      </c>
      <c r="E114" s="70" t="str">
        <f aca="false">IF('Invoice &amp; Delivery Log'!$A114="","",IF('Invoice &amp; Delivery Log'!$Y114="Yes",'Invoice &amp; Delivery Log'!$P114,""))</f>
        <v/>
      </c>
      <c r="F114" s="47" t="str">
        <f aca="false">IF(OR($E114="",$D114=""),"",$D114-Settings!$C$5)</f>
        <v/>
      </c>
      <c r="G114" s="36" t="str">
        <f aca="false">IF($A114="","",IF($E114="","Closed",IF($F114="","No Due Date",IF($F114&lt;0,"Overdue",IF($F114&lt;=Settings!$C$11,"Due in 0-7 Days",IF($F114&lt;=2*Settings!$C$11,"Due in 8-14 Days",IF($F114&lt;=Settings!$C$12,"Due in 15-30 Days","Due in 31+ Days")))))))</f>
        <v/>
      </c>
      <c r="H114" s="29" t="str">
        <f aca="false">IF('Invoice &amp; Delivery Log'!$Z114="","",'Invoice &amp; Delivery Log'!$Z114)</f>
        <v/>
      </c>
      <c r="I114" s="56"/>
      <c r="J114" s="58"/>
      <c r="K114" s="30" t="str">
        <f aca="false">IF($E114="","",ROUND($E114-N($J114),2))</f>
        <v/>
      </c>
      <c r="L114" s="28" t="str">
        <f aca="false">IF($A114="","",IF($E114="","No action needed",IF(AND(N($J114)&gt;0,$I114=""),"Missing planned date",IF(ROUND(N($J114)-$E114,2)&gt;0,"Planned amount exceeds balance",IF(AND($I114&lt;&gt;"",$I114&lt;Settings!$C$5),"Planned date is in the past",IF(N($J114)&lt;=0,"Not planned yet",IF(ROUND($K114,2)&lt;=0,"Fully planned","Partly planned")))))))</f>
        <v/>
      </c>
    </row>
    <row r="115" customFormat="false" ht="15" hidden="false" customHeight="true" outlineLevel="0" collapsed="false">
      <c r="A115" s="65" t="str">
        <f aca="false">IF('Invoice &amp; Delivery Log'!$A115="","",'Invoice &amp; Delivery Log'!$A115)</f>
        <v/>
      </c>
      <c r="B115" s="59" t="str">
        <f aca="false">IF('Invoice &amp; Delivery Log'!$A115="","",'Invoice &amp; Delivery Log'!$C115)</f>
        <v/>
      </c>
      <c r="C115" s="66" t="str">
        <f aca="false">IF('Invoice &amp; Delivery Log'!$A115="","",'Invoice &amp; Delivery Log'!$H115)</f>
        <v/>
      </c>
      <c r="D115" s="66" t="str">
        <f aca="false">IF('Invoice &amp; Delivery Log'!$A115="","",'Invoice &amp; Delivery Log'!$M115)</f>
        <v/>
      </c>
      <c r="E115" s="71" t="str">
        <f aca="false">IF('Invoice &amp; Delivery Log'!$A115="","",IF('Invoice &amp; Delivery Log'!$Y115="Yes",'Invoice &amp; Delivery Log'!$P115,""))</f>
        <v/>
      </c>
      <c r="F115" s="52" t="str">
        <f aca="false">IF(OR($E115="",$D115=""),"",$D115-Settings!$C$5)</f>
        <v/>
      </c>
      <c r="G115" s="53" t="str">
        <f aca="false">IF($A115="","",IF($E115="","Closed",IF($F115="","No Due Date",IF($F115&lt;0,"Overdue",IF($F115&lt;=Settings!$C$11,"Due in 0-7 Days",IF($F115&lt;=2*Settings!$C$11,"Due in 8-14 Days",IF($F115&lt;=Settings!$C$12,"Due in 15-30 Days","Due in 31+ Days")))))))</f>
        <v/>
      </c>
      <c r="H115" s="49" t="str">
        <f aca="false">IF('Invoice &amp; Delivery Log'!$Z115="","",'Invoice &amp; Delivery Log'!$Z115)</f>
        <v/>
      </c>
      <c r="I115" s="56"/>
      <c r="J115" s="58"/>
      <c r="K115" s="50" t="str">
        <f aca="false">IF($E115="","",ROUND($E115-N($J115),2))</f>
        <v/>
      </c>
      <c r="L115" s="62" t="str">
        <f aca="false">IF($A115="","",IF($E115="","No action needed",IF(AND(N($J115)&gt;0,$I115=""),"Missing planned date",IF(ROUND(N($J115)-$E115,2)&gt;0,"Planned amount exceeds balance",IF(AND($I115&lt;&gt;"",$I115&lt;Settings!$C$5),"Planned date is in the past",IF(N($J115)&lt;=0,"Not planned yet",IF(ROUND($K115,2)&lt;=0,"Fully planned","Partly planned")))))))</f>
        <v/>
      </c>
    </row>
    <row r="116" customFormat="false" ht="15" hidden="false" customHeight="true" outlineLevel="0" collapsed="false">
      <c r="A116" s="63" t="str">
        <f aca="false">IF('Invoice &amp; Delivery Log'!$A116="","",'Invoice &amp; Delivery Log'!$A116)</f>
        <v/>
      </c>
      <c r="B116" s="55" t="str">
        <f aca="false">IF('Invoice &amp; Delivery Log'!$A116="","",'Invoice &amp; Delivery Log'!$C116)</f>
        <v/>
      </c>
      <c r="C116" s="64" t="str">
        <f aca="false">IF('Invoice &amp; Delivery Log'!$A116="","",'Invoice &amp; Delivery Log'!$H116)</f>
        <v/>
      </c>
      <c r="D116" s="64" t="str">
        <f aca="false">IF('Invoice &amp; Delivery Log'!$A116="","",'Invoice &amp; Delivery Log'!$M116)</f>
        <v/>
      </c>
      <c r="E116" s="70" t="str">
        <f aca="false">IF('Invoice &amp; Delivery Log'!$A116="","",IF('Invoice &amp; Delivery Log'!$Y116="Yes",'Invoice &amp; Delivery Log'!$P116,""))</f>
        <v/>
      </c>
      <c r="F116" s="47" t="str">
        <f aca="false">IF(OR($E116="",$D116=""),"",$D116-Settings!$C$5)</f>
        <v/>
      </c>
      <c r="G116" s="36" t="str">
        <f aca="false">IF($A116="","",IF($E116="","Closed",IF($F116="","No Due Date",IF($F116&lt;0,"Overdue",IF($F116&lt;=Settings!$C$11,"Due in 0-7 Days",IF($F116&lt;=2*Settings!$C$11,"Due in 8-14 Days",IF($F116&lt;=Settings!$C$12,"Due in 15-30 Days","Due in 31+ Days")))))))</f>
        <v/>
      </c>
      <c r="H116" s="29" t="str">
        <f aca="false">IF('Invoice &amp; Delivery Log'!$Z116="","",'Invoice &amp; Delivery Log'!$Z116)</f>
        <v/>
      </c>
      <c r="I116" s="56"/>
      <c r="J116" s="58"/>
      <c r="K116" s="30" t="str">
        <f aca="false">IF($E116="","",ROUND($E116-N($J116),2))</f>
        <v/>
      </c>
      <c r="L116" s="28" t="str">
        <f aca="false">IF($A116="","",IF($E116="","No action needed",IF(AND(N($J116)&gt;0,$I116=""),"Missing planned date",IF(ROUND(N($J116)-$E116,2)&gt;0,"Planned amount exceeds balance",IF(AND($I116&lt;&gt;"",$I116&lt;Settings!$C$5),"Planned date is in the past",IF(N($J116)&lt;=0,"Not planned yet",IF(ROUND($K116,2)&lt;=0,"Fully planned","Partly planned")))))))</f>
        <v/>
      </c>
    </row>
    <row r="117" customFormat="false" ht="15" hidden="false" customHeight="true" outlineLevel="0" collapsed="false">
      <c r="A117" s="65" t="str">
        <f aca="false">IF('Invoice &amp; Delivery Log'!$A117="","",'Invoice &amp; Delivery Log'!$A117)</f>
        <v/>
      </c>
      <c r="B117" s="59" t="str">
        <f aca="false">IF('Invoice &amp; Delivery Log'!$A117="","",'Invoice &amp; Delivery Log'!$C117)</f>
        <v/>
      </c>
      <c r="C117" s="66" t="str">
        <f aca="false">IF('Invoice &amp; Delivery Log'!$A117="","",'Invoice &amp; Delivery Log'!$H117)</f>
        <v/>
      </c>
      <c r="D117" s="66" t="str">
        <f aca="false">IF('Invoice &amp; Delivery Log'!$A117="","",'Invoice &amp; Delivery Log'!$M117)</f>
        <v/>
      </c>
      <c r="E117" s="71" t="str">
        <f aca="false">IF('Invoice &amp; Delivery Log'!$A117="","",IF('Invoice &amp; Delivery Log'!$Y117="Yes",'Invoice &amp; Delivery Log'!$P117,""))</f>
        <v/>
      </c>
      <c r="F117" s="52" t="str">
        <f aca="false">IF(OR($E117="",$D117=""),"",$D117-Settings!$C$5)</f>
        <v/>
      </c>
      <c r="G117" s="53" t="str">
        <f aca="false">IF($A117="","",IF($E117="","Closed",IF($F117="","No Due Date",IF($F117&lt;0,"Overdue",IF($F117&lt;=Settings!$C$11,"Due in 0-7 Days",IF($F117&lt;=2*Settings!$C$11,"Due in 8-14 Days",IF($F117&lt;=Settings!$C$12,"Due in 15-30 Days","Due in 31+ Days")))))))</f>
        <v/>
      </c>
      <c r="H117" s="49" t="str">
        <f aca="false">IF('Invoice &amp; Delivery Log'!$Z117="","",'Invoice &amp; Delivery Log'!$Z117)</f>
        <v/>
      </c>
      <c r="I117" s="56"/>
      <c r="J117" s="58"/>
      <c r="K117" s="50" t="str">
        <f aca="false">IF($E117="","",ROUND($E117-N($J117),2))</f>
        <v/>
      </c>
      <c r="L117" s="62" t="str">
        <f aca="false">IF($A117="","",IF($E117="","No action needed",IF(AND(N($J117)&gt;0,$I117=""),"Missing planned date",IF(ROUND(N($J117)-$E117,2)&gt;0,"Planned amount exceeds balance",IF(AND($I117&lt;&gt;"",$I117&lt;Settings!$C$5),"Planned date is in the past",IF(N($J117)&lt;=0,"Not planned yet",IF(ROUND($K117,2)&lt;=0,"Fully planned","Partly planned")))))))</f>
        <v/>
      </c>
    </row>
    <row r="118" customFormat="false" ht="15" hidden="false" customHeight="true" outlineLevel="0" collapsed="false">
      <c r="A118" s="63" t="str">
        <f aca="false">IF('Invoice &amp; Delivery Log'!$A118="","",'Invoice &amp; Delivery Log'!$A118)</f>
        <v/>
      </c>
      <c r="B118" s="55" t="str">
        <f aca="false">IF('Invoice &amp; Delivery Log'!$A118="","",'Invoice &amp; Delivery Log'!$C118)</f>
        <v/>
      </c>
      <c r="C118" s="64" t="str">
        <f aca="false">IF('Invoice &amp; Delivery Log'!$A118="","",'Invoice &amp; Delivery Log'!$H118)</f>
        <v/>
      </c>
      <c r="D118" s="64" t="str">
        <f aca="false">IF('Invoice &amp; Delivery Log'!$A118="","",'Invoice &amp; Delivery Log'!$M118)</f>
        <v/>
      </c>
      <c r="E118" s="70" t="str">
        <f aca="false">IF('Invoice &amp; Delivery Log'!$A118="","",IF('Invoice &amp; Delivery Log'!$Y118="Yes",'Invoice &amp; Delivery Log'!$P118,""))</f>
        <v/>
      </c>
      <c r="F118" s="47" t="str">
        <f aca="false">IF(OR($E118="",$D118=""),"",$D118-Settings!$C$5)</f>
        <v/>
      </c>
      <c r="G118" s="36" t="str">
        <f aca="false">IF($A118="","",IF($E118="","Closed",IF($F118="","No Due Date",IF($F118&lt;0,"Overdue",IF($F118&lt;=Settings!$C$11,"Due in 0-7 Days",IF($F118&lt;=2*Settings!$C$11,"Due in 8-14 Days",IF($F118&lt;=Settings!$C$12,"Due in 15-30 Days","Due in 31+ Days")))))))</f>
        <v/>
      </c>
      <c r="H118" s="29" t="str">
        <f aca="false">IF('Invoice &amp; Delivery Log'!$Z118="","",'Invoice &amp; Delivery Log'!$Z118)</f>
        <v/>
      </c>
      <c r="I118" s="56"/>
      <c r="J118" s="58"/>
      <c r="K118" s="30" t="str">
        <f aca="false">IF($E118="","",ROUND($E118-N($J118),2))</f>
        <v/>
      </c>
      <c r="L118" s="28" t="str">
        <f aca="false">IF($A118="","",IF($E118="","No action needed",IF(AND(N($J118)&gt;0,$I118=""),"Missing planned date",IF(ROUND(N($J118)-$E118,2)&gt;0,"Planned amount exceeds balance",IF(AND($I118&lt;&gt;"",$I118&lt;Settings!$C$5),"Planned date is in the past",IF(N($J118)&lt;=0,"Not planned yet",IF(ROUND($K118,2)&lt;=0,"Fully planned","Partly planned")))))))</f>
        <v/>
      </c>
    </row>
    <row r="119" customFormat="false" ht="15" hidden="false" customHeight="true" outlineLevel="0" collapsed="false">
      <c r="A119" s="65" t="str">
        <f aca="false">IF('Invoice &amp; Delivery Log'!$A119="","",'Invoice &amp; Delivery Log'!$A119)</f>
        <v/>
      </c>
      <c r="B119" s="59" t="str">
        <f aca="false">IF('Invoice &amp; Delivery Log'!$A119="","",'Invoice &amp; Delivery Log'!$C119)</f>
        <v/>
      </c>
      <c r="C119" s="66" t="str">
        <f aca="false">IF('Invoice &amp; Delivery Log'!$A119="","",'Invoice &amp; Delivery Log'!$H119)</f>
        <v/>
      </c>
      <c r="D119" s="66" t="str">
        <f aca="false">IF('Invoice &amp; Delivery Log'!$A119="","",'Invoice &amp; Delivery Log'!$M119)</f>
        <v/>
      </c>
      <c r="E119" s="71" t="str">
        <f aca="false">IF('Invoice &amp; Delivery Log'!$A119="","",IF('Invoice &amp; Delivery Log'!$Y119="Yes",'Invoice &amp; Delivery Log'!$P119,""))</f>
        <v/>
      </c>
      <c r="F119" s="52" t="str">
        <f aca="false">IF(OR($E119="",$D119=""),"",$D119-Settings!$C$5)</f>
        <v/>
      </c>
      <c r="G119" s="53" t="str">
        <f aca="false">IF($A119="","",IF($E119="","Closed",IF($F119="","No Due Date",IF($F119&lt;0,"Overdue",IF($F119&lt;=Settings!$C$11,"Due in 0-7 Days",IF($F119&lt;=2*Settings!$C$11,"Due in 8-14 Days",IF($F119&lt;=Settings!$C$12,"Due in 15-30 Days","Due in 31+ Days")))))))</f>
        <v/>
      </c>
      <c r="H119" s="49" t="str">
        <f aca="false">IF('Invoice &amp; Delivery Log'!$Z119="","",'Invoice &amp; Delivery Log'!$Z119)</f>
        <v/>
      </c>
      <c r="I119" s="56"/>
      <c r="J119" s="58"/>
      <c r="K119" s="50" t="str">
        <f aca="false">IF($E119="","",ROUND($E119-N($J119),2))</f>
        <v/>
      </c>
      <c r="L119" s="62" t="str">
        <f aca="false">IF($A119="","",IF($E119="","No action needed",IF(AND(N($J119)&gt;0,$I119=""),"Missing planned date",IF(ROUND(N($J119)-$E119,2)&gt;0,"Planned amount exceeds balance",IF(AND($I119&lt;&gt;"",$I119&lt;Settings!$C$5),"Planned date is in the past",IF(N($J119)&lt;=0,"Not planned yet",IF(ROUND($K119,2)&lt;=0,"Fully planned","Partly planned")))))))</f>
        <v/>
      </c>
    </row>
    <row r="120" customFormat="false" ht="15" hidden="false" customHeight="true" outlineLevel="0" collapsed="false">
      <c r="A120" s="63" t="str">
        <f aca="false">IF('Invoice &amp; Delivery Log'!$A120="","",'Invoice &amp; Delivery Log'!$A120)</f>
        <v/>
      </c>
      <c r="B120" s="55" t="str">
        <f aca="false">IF('Invoice &amp; Delivery Log'!$A120="","",'Invoice &amp; Delivery Log'!$C120)</f>
        <v/>
      </c>
      <c r="C120" s="64" t="str">
        <f aca="false">IF('Invoice &amp; Delivery Log'!$A120="","",'Invoice &amp; Delivery Log'!$H120)</f>
        <v/>
      </c>
      <c r="D120" s="64" t="str">
        <f aca="false">IF('Invoice &amp; Delivery Log'!$A120="","",'Invoice &amp; Delivery Log'!$M120)</f>
        <v/>
      </c>
      <c r="E120" s="70" t="str">
        <f aca="false">IF('Invoice &amp; Delivery Log'!$A120="","",IF('Invoice &amp; Delivery Log'!$Y120="Yes",'Invoice &amp; Delivery Log'!$P120,""))</f>
        <v/>
      </c>
      <c r="F120" s="47" t="str">
        <f aca="false">IF(OR($E120="",$D120=""),"",$D120-Settings!$C$5)</f>
        <v/>
      </c>
      <c r="G120" s="36" t="str">
        <f aca="false">IF($A120="","",IF($E120="","Closed",IF($F120="","No Due Date",IF($F120&lt;0,"Overdue",IF($F120&lt;=Settings!$C$11,"Due in 0-7 Days",IF($F120&lt;=2*Settings!$C$11,"Due in 8-14 Days",IF($F120&lt;=Settings!$C$12,"Due in 15-30 Days","Due in 31+ Days")))))))</f>
        <v/>
      </c>
      <c r="H120" s="29" t="str">
        <f aca="false">IF('Invoice &amp; Delivery Log'!$Z120="","",'Invoice &amp; Delivery Log'!$Z120)</f>
        <v/>
      </c>
      <c r="I120" s="56"/>
      <c r="J120" s="58"/>
      <c r="K120" s="30" t="str">
        <f aca="false">IF($E120="","",ROUND($E120-N($J120),2))</f>
        <v/>
      </c>
      <c r="L120" s="28" t="str">
        <f aca="false">IF($A120="","",IF($E120="","No action needed",IF(AND(N($J120)&gt;0,$I120=""),"Missing planned date",IF(ROUND(N($J120)-$E120,2)&gt;0,"Planned amount exceeds balance",IF(AND($I120&lt;&gt;"",$I120&lt;Settings!$C$5),"Planned date is in the past",IF(N($J120)&lt;=0,"Not planned yet",IF(ROUND($K120,2)&lt;=0,"Fully planned","Partly planned")))))))</f>
        <v/>
      </c>
    </row>
    <row r="121" customFormat="false" ht="15" hidden="false" customHeight="true" outlineLevel="0" collapsed="false">
      <c r="A121" s="65" t="str">
        <f aca="false">IF('Invoice &amp; Delivery Log'!$A121="","",'Invoice &amp; Delivery Log'!$A121)</f>
        <v/>
      </c>
      <c r="B121" s="59" t="str">
        <f aca="false">IF('Invoice &amp; Delivery Log'!$A121="","",'Invoice &amp; Delivery Log'!$C121)</f>
        <v/>
      </c>
      <c r="C121" s="66" t="str">
        <f aca="false">IF('Invoice &amp; Delivery Log'!$A121="","",'Invoice &amp; Delivery Log'!$H121)</f>
        <v/>
      </c>
      <c r="D121" s="66" t="str">
        <f aca="false">IF('Invoice &amp; Delivery Log'!$A121="","",'Invoice &amp; Delivery Log'!$M121)</f>
        <v/>
      </c>
      <c r="E121" s="71" t="str">
        <f aca="false">IF('Invoice &amp; Delivery Log'!$A121="","",IF('Invoice &amp; Delivery Log'!$Y121="Yes",'Invoice &amp; Delivery Log'!$P121,""))</f>
        <v/>
      </c>
      <c r="F121" s="52" t="str">
        <f aca="false">IF(OR($E121="",$D121=""),"",$D121-Settings!$C$5)</f>
        <v/>
      </c>
      <c r="G121" s="53" t="str">
        <f aca="false">IF($A121="","",IF($E121="","Closed",IF($F121="","No Due Date",IF($F121&lt;0,"Overdue",IF($F121&lt;=Settings!$C$11,"Due in 0-7 Days",IF($F121&lt;=2*Settings!$C$11,"Due in 8-14 Days",IF($F121&lt;=Settings!$C$12,"Due in 15-30 Days","Due in 31+ Days")))))))</f>
        <v/>
      </c>
      <c r="H121" s="49" t="str">
        <f aca="false">IF('Invoice &amp; Delivery Log'!$Z121="","",'Invoice &amp; Delivery Log'!$Z121)</f>
        <v/>
      </c>
      <c r="I121" s="56"/>
      <c r="J121" s="58"/>
      <c r="K121" s="50" t="str">
        <f aca="false">IF($E121="","",ROUND($E121-N($J121),2))</f>
        <v/>
      </c>
      <c r="L121" s="62" t="str">
        <f aca="false">IF($A121="","",IF($E121="","No action needed",IF(AND(N($J121)&gt;0,$I121=""),"Missing planned date",IF(ROUND(N($J121)-$E121,2)&gt;0,"Planned amount exceeds balance",IF(AND($I121&lt;&gt;"",$I121&lt;Settings!$C$5),"Planned date is in the past",IF(N($J121)&lt;=0,"Not planned yet",IF(ROUND($K121,2)&lt;=0,"Fully planned","Partly planned")))))))</f>
        <v/>
      </c>
    </row>
    <row r="122" customFormat="false" ht="15" hidden="false" customHeight="true" outlineLevel="0" collapsed="false">
      <c r="A122" s="63" t="str">
        <f aca="false">IF('Invoice &amp; Delivery Log'!$A122="","",'Invoice &amp; Delivery Log'!$A122)</f>
        <v/>
      </c>
      <c r="B122" s="55" t="str">
        <f aca="false">IF('Invoice &amp; Delivery Log'!$A122="","",'Invoice &amp; Delivery Log'!$C122)</f>
        <v/>
      </c>
      <c r="C122" s="64" t="str">
        <f aca="false">IF('Invoice &amp; Delivery Log'!$A122="","",'Invoice &amp; Delivery Log'!$H122)</f>
        <v/>
      </c>
      <c r="D122" s="64" t="str">
        <f aca="false">IF('Invoice &amp; Delivery Log'!$A122="","",'Invoice &amp; Delivery Log'!$M122)</f>
        <v/>
      </c>
      <c r="E122" s="70" t="str">
        <f aca="false">IF('Invoice &amp; Delivery Log'!$A122="","",IF('Invoice &amp; Delivery Log'!$Y122="Yes",'Invoice &amp; Delivery Log'!$P122,""))</f>
        <v/>
      </c>
      <c r="F122" s="47" t="str">
        <f aca="false">IF(OR($E122="",$D122=""),"",$D122-Settings!$C$5)</f>
        <v/>
      </c>
      <c r="G122" s="36" t="str">
        <f aca="false">IF($A122="","",IF($E122="","Closed",IF($F122="","No Due Date",IF($F122&lt;0,"Overdue",IF($F122&lt;=Settings!$C$11,"Due in 0-7 Days",IF($F122&lt;=2*Settings!$C$11,"Due in 8-14 Days",IF($F122&lt;=Settings!$C$12,"Due in 15-30 Days","Due in 31+ Days")))))))</f>
        <v/>
      </c>
      <c r="H122" s="29" t="str">
        <f aca="false">IF('Invoice &amp; Delivery Log'!$Z122="","",'Invoice &amp; Delivery Log'!$Z122)</f>
        <v/>
      </c>
      <c r="I122" s="56"/>
      <c r="J122" s="58"/>
      <c r="K122" s="30" t="str">
        <f aca="false">IF($E122="","",ROUND($E122-N($J122),2))</f>
        <v/>
      </c>
      <c r="L122" s="28" t="str">
        <f aca="false">IF($A122="","",IF($E122="","No action needed",IF(AND(N($J122)&gt;0,$I122=""),"Missing planned date",IF(ROUND(N($J122)-$E122,2)&gt;0,"Planned amount exceeds balance",IF(AND($I122&lt;&gt;"",$I122&lt;Settings!$C$5),"Planned date is in the past",IF(N($J122)&lt;=0,"Not planned yet",IF(ROUND($K122,2)&lt;=0,"Fully planned","Partly planned")))))))</f>
        <v/>
      </c>
    </row>
    <row r="123" customFormat="false" ht="15" hidden="false" customHeight="true" outlineLevel="0" collapsed="false">
      <c r="A123" s="65" t="str">
        <f aca="false">IF('Invoice &amp; Delivery Log'!$A123="","",'Invoice &amp; Delivery Log'!$A123)</f>
        <v/>
      </c>
      <c r="B123" s="59" t="str">
        <f aca="false">IF('Invoice &amp; Delivery Log'!$A123="","",'Invoice &amp; Delivery Log'!$C123)</f>
        <v/>
      </c>
      <c r="C123" s="66" t="str">
        <f aca="false">IF('Invoice &amp; Delivery Log'!$A123="","",'Invoice &amp; Delivery Log'!$H123)</f>
        <v/>
      </c>
      <c r="D123" s="66" t="str">
        <f aca="false">IF('Invoice &amp; Delivery Log'!$A123="","",'Invoice &amp; Delivery Log'!$M123)</f>
        <v/>
      </c>
      <c r="E123" s="71" t="str">
        <f aca="false">IF('Invoice &amp; Delivery Log'!$A123="","",IF('Invoice &amp; Delivery Log'!$Y123="Yes",'Invoice &amp; Delivery Log'!$P123,""))</f>
        <v/>
      </c>
      <c r="F123" s="52" t="str">
        <f aca="false">IF(OR($E123="",$D123=""),"",$D123-Settings!$C$5)</f>
        <v/>
      </c>
      <c r="G123" s="53" t="str">
        <f aca="false">IF($A123="","",IF($E123="","Closed",IF($F123="","No Due Date",IF($F123&lt;0,"Overdue",IF($F123&lt;=Settings!$C$11,"Due in 0-7 Days",IF($F123&lt;=2*Settings!$C$11,"Due in 8-14 Days",IF($F123&lt;=Settings!$C$12,"Due in 15-30 Days","Due in 31+ Days")))))))</f>
        <v/>
      </c>
      <c r="H123" s="49" t="str">
        <f aca="false">IF('Invoice &amp; Delivery Log'!$Z123="","",'Invoice &amp; Delivery Log'!$Z123)</f>
        <v/>
      </c>
      <c r="I123" s="56"/>
      <c r="J123" s="58"/>
      <c r="K123" s="50" t="str">
        <f aca="false">IF($E123="","",ROUND($E123-N($J123),2))</f>
        <v/>
      </c>
      <c r="L123" s="62" t="str">
        <f aca="false">IF($A123="","",IF($E123="","No action needed",IF(AND(N($J123)&gt;0,$I123=""),"Missing planned date",IF(ROUND(N($J123)-$E123,2)&gt;0,"Planned amount exceeds balance",IF(AND($I123&lt;&gt;"",$I123&lt;Settings!$C$5),"Planned date is in the past",IF(N($J123)&lt;=0,"Not planned yet",IF(ROUND($K123,2)&lt;=0,"Fully planned","Partly planned")))))))</f>
        <v/>
      </c>
    </row>
    <row r="124" customFormat="false" ht="15" hidden="false" customHeight="true" outlineLevel="0" collapsed="false">
      <c r="A124" s="63" t="str">
        <f aca="false">IF('Invoice &amp; Delivery Log'!$A124="","",'Invoice &amp; Delivery Log'!$A124)</f>
        <v/>
      </c>
      <c r="B124" s="55" t="str">
        <f aca="false">IF('Invoice &amp; Delivery Log'!$A124="","",'Invoice &amp; Delivery Log'!$C124)</f>
        <v/>
      </c>
      <c r="C124" s="64" t="str">
        <f aca="false">IF('Invoice &amp; Delivery Log'!$A124="","",'Invoice &amp; Delivery Log'!$H124)</f>
        <v/>
      </c>
      <c r="D124" s="64" t="str">
        <f aca="false">IF('Invoice &amp; Delivery Log'!$A124="","",'Invoice &amp; Delivery Log'!$M124)</f>
        <v/>
      </c>
      <c r="E124" s="70" t="str">
        <f aca="false">IF('Invoice &amp; Delivery Log'!$A124="","",IF('Invoice &amp; Delivery Log'!$Y124="Yes",'Invoice &amp; Delivery Log'!$P124,""))</f>
        <v/>
      </c>
      <c r="F124" s="47" t="str">
        <f aca="false">IF(OR($E124="",$D124=""),"",$D124-Settings!$C$5)</f>
        <v/>
      </c>
      <c r="G124" s="36" t="str">
        <f aca="false">IF($A124="","",IF($E124="","Closed",IF($F124="","No Due Date",IF($F124&lt;0,"Overdue",IF($F124&lt;=Settings!$C$11,"Due in 0-7 Days",IF($F124&lt;=2*Settings!$C$11,"Due in 8-14 Days",IF($F124&lt;=Settings!$C$12,"Due in 15-30 Days","Due in 31+ Days")))))))</f>
        <v/>
      </c>
      <c r="H124" s="29" t="str">
        <f aca="false">IF('Invoice &amp; Delivery Log'!$Z124="","",'Invoice &amp; Delivery Log'!$Z124)</f>
        <v/>
      </c>
      <c r="I124" s="56"/>
      <c r="J124" s="58"/>
      <c r="K124" s="30" t="str">
        <f aca="false">IF($E124="","",ROUND($E124-N($J124),2))</f>
        <v/>
      </c>
      <c r="L124" s="28" t="str">
        <f aca="false">IF($A124="","",IF($E124="","No action needed",IF(AND(N($J124)&gt;0,$I124=""),"Missing planned date",IF(ROUND(N($J124)-$E124,2)&gt;0,"Planned amount exceeds balance",IF(AND($I124&lt;&gt;"",$I124&lt;Settings!$C$5),"Planned date is in the past",IF(N($J124)&lt;=0,"Not planned yet",IF(ROUND($K124,2)&lt;=0,"Fully planned","Partly planned")))))))</f>
        <v/>
      </c>
    </row>
    <row r="125" customFormat="false" ht="15" hidden="false" customHeight="true" outlineLevel="0" collapsed="false">
      <c r="A125" s="65" t="str">
        <f aca="false">IF('Invoice &amp; Delivery Log'!$A125="","",'Invoice &amp; Delivery Log'!$A125)</f>
        <v/>
      </c>
      <c r="B125" s="59" t="str">
        <f aca="false">IF('Invoice &amp; Delivery Log'!$A125="","",'Invoice &amp; Delivery Log'!$C125)</f>
        <v/>
      </c>
      <c r="C125" s="66" t="str">
        <f aca="false">IF('Invoice &amp; Delivery Log'!$A125="","",'Invoice &amp; Delivery Log'!$H125)</f>
        <v/>
      </c>
      <c r="D125" s="66" t="str">
        <f aca="false">IF('Invoice &amp; Delivery Log'!$A125="","",'Invoice &amp; Delivery Log'!$M125)</f>
        <v/>
      </c>
      <c r="E125" s="71" t="str">
        <f aca="false">IF('Invoice &amp; Delivery Log'!$A125="","",IF('Invoice &amp; Delivery Log'!$Y125="Yes",'Invoice &amp; Delivery Log'!$P125,""))</f>
        <v/>
      </c>
      <c r="F125" s="52" t="str">
        <f aca="false">IF(OR($E125="",$D125=""),"",$D125-Settings!$C$5)</f>
        <v/>
      </c>
      <c r="G125" s="53" t="str">
        <f aca="false">IF($A125="","",IF($E125="","Closed",IF($F125="","No Due Date",IF($F125&lt;0,"Overdue",IF($F125&lt;=Settings!$C$11,"Due in 0-7 Days",IF($F125&lt;=2*Settings!$C$11,"Due in 8-14 Days",IF($F125&lt;=Settings!$C$12,"Due in 15-30 Days","Due in 31+ Days")))))))</f>
        <v/>
      </c>
      <c r="H125" s="49" t="str">
        <f aca="false">IF('Invoice &amp; Delivery Log'!$Z125="","",'Invoice &amp; Delivery Log'!$Z125)</f>
        <v/>
      </c>
      <c r="I125" s="56"/>
      <c r="J125" s="58"/>
      <c r="K125" s="50" t="str">
        <f aca="false">IF($E125="","",ROUND($E125-N($J125),2))</f>
        <v/>
      </c>
      <c r="L125" s="62" t="str">
        <f aca="false">IF($A125="","",IF($E125="","No action needed",IF(AND(N($J125)&gt;0,$I125=""),"Missing planned date",IF(ROUND(N($J125)-$E125,2)&gt;0,"Planned amount exceeds balance",IF(AND($I125&lt;&gt;"",$I125&lt;Settings!$C$5),"Planned date is in the past",IF(N($J125)&lt;=0,"Not planned yet",IF(ROUND($K125,2)&lt;=0,"Fully planned","Partly planned")))))))</f>
        <v/>
      </c>
    </row>
    <row r="126" customFormat="false" ht="15" hidden="false" customHeight="true" outlineLevel="0" collapsed="false">
      <c r="A126" s="63" t="str">
        <f aca="false">IF('Invoice &amp; Delivery Log'!$A126="","",'Invoice &amp; Delivery Log'!$A126)</f>
        <v/>
      </c>
      <c r="B126" s="55" t="str">
        <f aca="false">IF('Invoice &amp; Delivery Log'!$A126="","",'Invoice &amp; Delivery Log'!$C126)</f>
        <v/>
      </c>
      <c r="C126" s="64" t="str">
        <f aca="false">IF('Invoice &amp; Delivery Log'!$A126="","",'Invoice &amp; Delivery Log'!$H126)</f>
        <v/>
      </c>
      <c r="D126" s="64" t="str">
        <f aca="false">IF('Invoice &amp; Delivery Log'!$A126="","",'Invoice &amp; Delivery Log'!$M126)</f>
        <v/>
      </c>
      <c r="E126" s="70" t="str">
        <f aca="false">IF('Invoice &amp; Delivery Log'!$A126="","",IF('Invoice &amp; Delivery Log'!$Y126="Yes",'Invoice &amp; Delivery Log'!$P126,""))</f>
        <v/>
      </c>
      <c r="F126" s="47" t="str">
        <f aca="false">IF(OR($E126="",$D126=""),"",$D126-Settings!$C$5)</f>
        <v/>
      </c>
      <c r="G126" s="36" t="str">
        <f aca="false">IF($A126="","",IF($E126="","Closed",IF($F126="","No Due Date",IF($F126&lt;0,"Overdue",IF($F126&lt;=Settings!$C$11,"Due in 0-7 Days",IF($F126&lt;=2*Settings!$C$11,"Due in 8-14 Days",IF($F126&lt;=Settings!$C$12,"Due in 15-30 Days","Due in 31+ Days")))))))</f>
        <v/>
      </c>
      <c r="H126" s="29" t="str">
        <f aca="false">IF('Invoice &amp; Delivery Log'!$Z126="","",'Invoice &amp; Delivery Log'!$Z126)</f>
        <v/>
      </c>
      <c r="I126" s="56"/>
      <c r="J126" s="58"/>
      <c r="K126" s="30" t="str">
        <f aca="false">IF($E126="","",ROUND($E126-N($J126),2))</f>
        <v/>
      </c>
      <c r="L126" s="28" t="str">
        <f aca="false">IF($A126="","",IF($E126="","No action needed",IF(AND(N($J126)&gt;0,$I126=""),"Missing planned date",IF(ROUND(N($J126)-$E126,2)&gt;0,"Planned amount exceeds balance",IF(AND($I126&lt;&gt;"",$I126&lt;Settings!$C$5),"Planned date is in the past",IF(N($J126)&lt;=0,"Not planned yet",IF(ROUND($K126,2)&lt;=0,"Fully planned","Partly planned")))))))</f>
        <v/>
      </c>
    </row>
    <row r="127" customFormat="false" ht="15" hidden="false" customHeight="true" outlineLevel="0" collapsed="false">
      <c r="A127" s="65" t="str">
        <f aca="false">IF('Invoice &amp; Delivery Log'!$A127="","",'Invoice &amp; Delivery Log'!$A127)</f>
        <v/>
      </c>
      <c r="B127" s="59" t="str">
        <f aca="false">IF('Invoice &amp; Delivery Log'!$A127="","",'Invoice &amp; Delivery Log'!$C127)</f>
        <v/>
      </c>
      <c r="C127" s="66" t="str">
        <f aca="false">IF('Invoice &amp; Delivery Log'!$A127="","",'Invoice &amp; Delivery Log'!$H127)</f>
        <v/>
      </c>
      <c r="D127" s="66" t="str">
        <f aca="false">IF('Invoice &amp; Delivery Log'!$A127="","",'Invoice &amp; Delivery Log'!$M127)</f>
        <v/>
      </c>
      <c r="E127" s="71" t="str">
        <f aca="false">IF('Invoice &amp; Delivery Log'!$A127="","",IF('Invoice &amp; Delivery Log'!$Y127="Yes",'Invoice &amp; Delivery Log'!$P127,""))</f>
        <v/>
      </c>
      <c r="F127" s="52" t="str">
        <f aca="false">IF(OR($E127="",$D127=""),"",$D127-Settings!$C$5)</f>
        <v/>
      </c>
      <c r="G127" s="53" t="str">
        <f aca="false">IF($A127="","",IF($E127="","Closed",IF($F127="","No Due Date",IF($F127&lt;0,"Overdue",IF($F127&lt;=Settings!$C$11,"Due in 0-7 Days",IF($F127&lt;=2*Settings!$C$11,"Due in 8-14 Days",IF($F127&lt;=Settings!$C$12,"Due in 15-30 Days","Due in 31+ Days")))))))</f>
        <v/>
      </c>
      <c r="H127" s="49" t="str">
        <f aca="false">IF('Invoice &amp; Delivery Log'!$Z127="","",'Invoice &amp; Delivery Log'!$Z127)</f>
        <v/>
      </c>
      <c r="I127" s="56"/>
      <c r="J127" s="58"/>
      <c r="K127" s="50" t="str">
        <f aca="false">IF($E127="","",ROUND($E127-N($J127),2))</f>
        <v/>
      </c>
      <c r="L127" s="62" t="str">
        <f aca="false">IF($A127="","",IF($E127="","No action needed",IF(AND(N($J127)&gt;0,$I127=""),"Missing planned date",IF(ROUND(N($J127)-$E127,2)&gt;0,"Planned amount exceeds balance",IF(AND($I127&lt;&gt;"",$I127&lt;Settings!$C$5),"Planned date is in the past",IF(N($J127)&lt;=0,"Not planned yet",IF(ROUND($K127,2)&lt;=0,"Fully planned","Partly planned")))))))</f>
        <v/>
      </c>
    </row>
    <row r="128" customFormat="false" ht="15" hidden="false" customHeight="true" outlineLevel="0" collapsed="false">
      <c r="A128" s="63" t="str">
        <f aca="false">IF('Invoice &amp; Delivery Log'!$A128="","",'Invoice &amp; Delivery Log'!$A128)</f>
        <v/>
      </c>
      <c r="B128" s="55" t="str">
        <f aca="false">IF('Invoice &amp; Delivery Log'!$A128="","",'Invoice &amp; Delivery Log'!$C128)</f>
        <v/>
      </c>
      <c r="C128" s="64" t="str">
        <f aca="false">IF('Invoice &amp; Delivery Log'!$A128="","",'Invoice &amp; Delivery Log'!$H128)</f>
        <v/>
      </c>
      <c r="D128" s="64" t="str">
        <f aca="false">IF('Invoice &amp; Delivery Log'!$A128="","",'Invoice &amp; Delivery Log'!$M128)</f>
        <v/>
      </c>
      <c r="E128" s="70" t="str">
        <f aca="false">IF('Invoice &amp; Delivery Log'!$A128="","",IF('Invoice &amp; Delivery Log'!$Y128="Yes",'Invoice &amp; Delivery Log'!$P128,""))</f>
        <v/>
      </c>
      <c r="F128" s="47" t="str">
        <f aca="false">IF(OR($E128="",$D128=""),"",$D128-Settings!$C$5)</f>
        <v/>
      </c>
      <c r="G128" s="36" t="str">
        <f aca="false">IF($A128="","",IF($E128="","Closed",IF($F128="","No Due Date",IF($F128&lt;0,"Overdue",IF($F128&lt;=Settings!$C$11,"Due in 0-7 Days",IF($F128&lt;=2*Settings!$C$11,"Due in 8-14 Days",IF($F128&lt;=Settings!$C$12,"Due in 15-30 Days","Due in 31+ Days")))))))</f>
        <v/>
      </c>
      <c r="H128" s="29" t="str">
        <f aca="false">IF('Invoice &amp; Delivery Log'!$Z128="","",'Invoice &amp; Delivery Log'!$Z128)</f>
        <v/>
      </c>
      <c r="I128" s="56"/>
      <c r="J128" s="58"/>
      <c r="K128" s="30" t="str">
        <f aca="false">IF($E128="","",ROUND($E128-N($J128),2))</f>
        <v/>
      </c>
      <c r="L128" s="28" t="str">
        <f aca="false">IF($A128="","",IF($E128="","No action needed",IF(AND(N($J128)&gt;0,$I128=""),"Missing planned date",IF(ROUND(N($J128)-$E128,2)&gt;0,"Planned amount exceeds balance",IF(AND($I128&lt;&gt;"",$I128&lt;Settings!$C$5),"Planned date is in the past",IF(N($J128)&lt;=0,"Not planned yet",IF(ROUND($K128,2)&lt;=0,"Fully planned","Partly planned")))))))</f>
        <v/>
      </c>
    </row>
    <row r="129" customFormat="false" ht="15" hidden="false" customHeight="true" outlineLevel="0" collapsed="false">
      <c r="A129" s="65" t="str">
        <f aca="false">IF('Invoice &amp; Delivery Log'!$A129="","",'Invoice &amp; Delivery Log'!$A129)</f>
        <v/>
      </c>
      <c r="B129" s="59" t="str">
        <f aca="false">IF('Invoice &amp; Delivery Log'!$A129="","",'Invoice &amp; Delivery Log'!$C129)</f>
        <v/>
      </c>
      <c r="C129" s="66" t="str">
        <f aca="false">IF('Invoice &amp; Delivery Log'!$A129="","",'Invoice &amp; Delivery Log'!$H129)</f>
        <v/>
      </c>
      <c r="D129" s="66" t="str">
        <f aca="false">IF('Invoice &amp; Delivery Log'!$A129="","",'Invoice &amp; Delivery Log'!$M129)</f>
        <v/>
      </c>
      <c r="E129" s="71" t="str">
        <f aca="false">IF('Invoice &amp; Delivery Log'!$A129="","",IF('Invoice &amp; Delivery Log'!$Y129="Yes",'Invoice &amp; Delivery Log'!$P129,""))</f>
        <v/>
      </c>
      <c r="F129" s="52" t="str">
        <f aca="false">IF(OR($E129="",$D129=""),"",$D129-Settings!$C$5)</f>
        <v/>
      </c>
      <c r="G129" s="53" t="str">
        <f aca="false">IF($A129="","",IF($E129="","Closed",IF($F129="","No Due Date",IF($F129&lt;0,"Overdue",IF($F129&lt;=Settings!$C$11,"Due in 0-7 Days",IF($F129&lt;=2*Settings!$C$11,"Due in 8-14 Days",IF($F129&lt;=Settings!$C$12,"Due in 15-30 Days","Due in 31+ Days")))))))</f>
        <v/>
      </c>
      <c r="H129" s="49" t="str">
        <f aca="false">IF('Invoice &amp; Delivery Log'!$Z129="","",'Invoice &amp; Delivery Log'!$Z129)</f>
        <v/>
      </c>
      <c r="I129" s="56"/>
      <c r="J129" s="58"/>
      <c r="K129" s="50" t="str">
        <f aca="false">IF($E129="","",ROUND($E129-N($J129),2))</f>
        <v/>
      </c>
      <c r="L129" s="62" t="str">
        <f aca="false">IF($A129="","",IF($E129="","No action needed",IF(AND(N($J129)&gt;0,$I129=""),"Missing planned date",IF(ROUND(N($J129)-$E129,2)&gt;0,"Planned amount exceeds balance",IF(AND($I129&lt;&gt;"",$I129&lt;Settings!$C$5),"Planned date is in the past",IF(N($J129)&lt;=0,"Not planned yet",IF(ROUND($K129,2)&lt;=0,"Fully planned","Partly planned")))))))</f>
        <v/>
      </c>
    </row>
    <row r="130" customFormat="false" ht="15" hidden="false" customHeight="true" outlineLevel="0" collapsed="false">
      <c r="A130" s="63" t="str">
        <f aca="false">IF('Invoice &amp; Delivery Log'!$A130="","",'Invoice &amp; Delivery Log'!$A130)</f>
        <v/>
      </c>
      <c r="B130" s="55" t="str">
        <f aca="false">IF('Invoice &amp; Delivery Log'!$A130="","",'Invoice &amp; Delivery Log'!$C130)</f>
        <v/>
      </c>
      <c r="C130" s="64" t="str">
        <f aca="false">IF('Invoice &amp; Delivery Log'!$A130="","",'Invoice &amp; Delivery Log'!$H130)</f>
        <v/>
      </c>
      <c r="D130" s="64" t="str">
        <f aca="false">IF('Invoice &amp; Delivery Log'!$A130="","",'Invoice &amp; Delivery Log'!$M130)</f>
        <v/>
      </c>
      <c r="E130" s="70" t="str">
        <f aca="false">IF('Invoice &amp; Delivery Log'!$A130="","",IF('Invoice &amp; Delivery Log'!$Y130="Yes",'Invoice &amp; Delivery Log'!$P130,""))</f>
        <v/>
      </c>
      <c r="F130" s="47" t="str">
        <f aca="false">IF(OR($E130="",$D130=""),"",$D130-Settings!$C$5)</f>
        <v/>
      </c>
      <c r="G130" s="36" t="str">
        <f aca="false">IF($A130="","",IF($E130="","Closed",IF($F130="","No Due Date",IF($F130&lt;0,"Overdue",IF($F130&lt;=Settings!$C$11,"Due in 0-7 Days",IF($F130&lt;=2*Settings!$C$11,"Due in 8-14 Days",IF($F130&lt;=Settings!$C$12,"Due in 15-30 Days","Due in 31+ Days")))))))</f>
        <v/>
      </c>
      <c r="H130" s="29" t="str">
        <f aca="false">IF('Invoice &amp; Delivery Log'!$Z130="","",'Invoice &amp; Delivery Log'!$Z130)</f>
        <v/>
      </c>
      <c r="I130" s="56"/>
      <c r="J130" s="58"/>
      <c r="K130" s="30" t="str">
        <f aca="false">IF($E130="","",ROUND($E130-N($J130),2))</f>
        <v/>
      </c>
      <c r="L130" s="28" t="str">
        <f aca="false">IF($A130="","",IF($E130="","No action needed",IF(AND(N($J130)&gt;0,$I130=""),"Missing planned date",IF(ROUND(N($J130)-$E130,2)&gt;0,"Planned amount exceeds balance",IF(AND($I130&lt;&gt;"",$I130&lt;Settings!$C$5),"Planned date is in the past",IF(N($J130)&lt;=0,"Not planned yet",IF(ROUND($K130,2)&lt;=0,"Fully planned","Partly planned")))))))</f>
        <v/>
      </c>
    </row>
    <row r="131" customFormat="false" ht="15" hidden="false" customHeight="true" outlineLevel="0" collapsed="false">
      <c r="A131" s="65" t="str">
        <f aca="false">IF('Invoice &amp; Delivery Log'!$A131="","",'Invoice &amp; Delivery Log'!$A131)</f>
        <v/>
      </c>
      <c r="B131" s="59" t="str">
        <f aca="false">IF('Invoice &amp; Delivery Log'!$A131="","",'Invoice &amp; Delivery Log'!$C131)</f>
        <v/>
      </c>
      <c r="C131" s="66" t="str">
        <f aca="false">IF('Invoice &amp; Delivery Log'!$A131="","",'Invoice &amp; Delivery Log'!$H131)</f>
        <v/>
      </c>
      <c r="D131" s="66" t="str">
        <f aca="false">IF('Invoice &amp; Delivery Log'!$A131="","",'Invoice &amp; Delivery Log'!$M131)</f>
        <v/>
      </c>
      <c r="E131" s="71" t="str">
        <f aca="false">IF('Invoice &amp; Delivery Log'!$A131="","",IF('Invoice &amp; Delivery Log'!$Y131="Yes",'Invoice &amp; Delivery Log'!$P131,""))</f>
        <v/>
      </c>
      <c r="F131" s="52" t="str">
        <f aca="false">IF(OR($E131="",$D131=""),"",$D131-Settings!$C$5)</f>
        <v/>
      </c>
      <c r="G131" s="53" t="str">
        <f aca="false">IF($A131="","",IF($E131="","Closed",IF($F131="","No Due Date",IF($F131&lt;0,"Overdue",IF($F131&lt;=Settings!$C$11,"Due in 0-7 Days",IF($F131&lt;=2*Settings!$C$11,"Due in 8-14 Days",IF($F131&lt;=Settings!$C$12,"Due in 15-30 Days","Due in 31+ Days")))))))</f>
        <v/>
      </c>
      <c r="H131" s="49" t="str">
        <f aca="false">IF('Invoice &amp; Delivery Log'!$Z131="","",'Invoice &amp; Delivery Log'!$Z131)</f>
        <v/>
      </c>
      <c r="I131" s="56"/>
      <c r="J131" s="58"/>
      <c r="K131" s="50" t="str">
        <f aca="false">IF($E131="","",ROUND($E131-N($J131),2))</f>
        <v/>
      </c>
      <c r="L131" s="62" t="str">
        <f aca="false">IF($A131="","",IF($E131="","No action needed",IF(AND(N($J131)&gt;0,$I131=""),"Missing planned date",IF(ROUND(N($J131)-$E131,2)&gt;0,"Planned amount exceeds balance",IF(AND($I131&lt;&gt;"",$I131&lt;Settings!$C$5),"Planned date is in the past",IF(N($J131)&lt;=0,"Not planned yet",IF(ROUND($K131,2)&lt;=0,"Fully planned","Partly planned")))))))</f>
        <v/>
      </c>
    </row>
    <row r="132" customFormat="false" ht="15" hidden="false" customHeight="true" outlineLevel="0" collapsed="false">
      <c r="A132" s="63" t="str">
        <f aca="false">IF('Invoice &amp; Delivery Log'!$A132="","",'Invoice &amp; Delivery Log'!$A132)</f>
        <v/>
      </c>
      <c r="B132" s="55" t="str">
        <f aca="false">IF('Invoice &amp; Delivery Log'!$A132="","",'Invoice &amp; Delivery Log'!$C132)</f>
        <v/>
      </c>
      <c r="C132" s="64" t="str">
        <f aca="false">IF('Invoice &amp; Delivery Log'!$A132="","",'Invoice &amp; Delivery Log'!$H132)</f>
        <v/>
      </c>
      <c r="D132" s="64" t="str">
        <f aca="false">IF('Invoice &amp; Delivery Log'!$A132="","",'Invoice &amp; Delivery Log'!$M132)</f>
        <v/>
      </c>
      <c r="E132" s="70" t="str">
        <f aca="false">IF('Invoice &amp; Delivery Log'!$A132="","",IF('Invoice &amp; Delivery Log'!$Y132="Yes",'Invoice &amp; Delivery Log'!$P132,""))</f>
        <v/>
      </c>
      <c r="F132" s="47" t="str">
        <f aca="false">IF(OR($E132="",$D132=""),"",$D132-Settings!$C$5)</f>
        <v/>
      </c>
      <c r="G132" s="36" t="str">
        <f aca="false">IF($A132="","",IF($E132="","Closed",IF($F132="","No Due Date",IF($F132&lt;0,"Overdue",IF($F132&lt;=Settings!$C$11,"Due in 0-7 Days",IF($F132&lt;=2*Settings!$C$11,"Due in 8-14 Days",IF($F132&lt;=Settings!$C$12,"Due in 15-30 Days","Due in 31+ Days")))))))</f>
        <v/>
      </c>
      <c r="H132" s="29" t="str">
        <f aca="false">IF('Invoice &amp; Delivery Log'!$Z132="","",'Invoice &amp; Delivery Log'!$Z132)</f>
        <v/>
      </c>
      <c r="I132" s="56"/>
      <c r="J132" s="58"/>
      <c r="K132" s="30" t="str">
        <f aca="false">IF($E132="","",ROUND($E132-N($J132),2))</f>
        <v/>
      </c>
      <c r="L132" s="28" t="str">
        <f aca="false">IF($A132="","",IF($E132="","No action needed",IF(AND(N($J132)&gt;0,$I132=""),"Missing planned date",IF(ROUND(N($J132)-$E132,2)&gt;0,"Planned amount exceeds balance",IF(AND($I132&lt;&gt;"",$I132&lt;Settings!$C$5),"Planned date is in the past",IF(N($J132)&lt;=0,"Not planned yet",IF(ROUND($K132,2)&lt;=0,"Fully planned","Partly planned")))))))</f>
        <v/>
      </c>
    </row>
    <row r="133" customFormat="false" ht="15" hidden="false" customHeight="true" outlineLevel="0" collapsed="false">
      <c r="A133" s="65" t="str">
        <f aca="false">IF('Invoice &amp; Delivery Log'!$A133="","",'Invoice &amp; Delivery Log'!$A133)</f>
        <v/>
      </c>
      <c r="B133" s="59" t="str">
        <f aca="false">IF('Invoice &amp; Delivery Log'!$A133="","",'Invoice &amp; Delivery Log'!$C133)</f>
        <v/>
      </c>
      <c r="C133" s="66" t="str">
        <f aca="false">IF('Invoice &amp; Delivery Log'!$A133="","",'Invoice &amp; Delivery Log'!$H133)</f>
        <v/>
      </c>
      <c r="D133" s="66" t="str">
        <f aca="false">IF('Invoice &amp; Delivery Log'!$A133="","",'Invoice &amp; Delivery Log'!$M133)</f>
        <v/>
      </c>
      <c r="E133" s="71" t="str">
        <f aca="false">IF('Invoice &amp; Delivery Log'!$A133="","",IF('Invoice &amp; Delivery Log'!$Y133="Yes",'Invoice &amp; Delivery Log'!$P133,""))</f>
        <v/>
      </c>
      <c r="F133" s="52" t="str">
        <f aca="false">IF(OR($E133="",$D133=""),"",$D133-Settings!$C$5)</f>
        <v/>
      </c>
      <c r="G133" s="53" t="str">
        <f aca="false">IF($A133="","",IF($E133="","Closed",IF($F133="","No Due Date",IF($F133&lt;0,"Overdue",IF($F133&lt;=Settings!$C$11,"Due in 0-7 Days",IF($F133&lt;=2*Settings!$C$11,"Due in 8-14 Days",IF($F133&lt;=Settings!$C$12,"Due in 15-30 Days","Due in 31+ Days")))))))</f>
        <v/>
      </c>
      <c r="H133" s="49" t="str">
        <f aca="false">IF('Invoice &amp; Delivery Log'!$Z133="","",'Invoice &amp; Delivery Log'!$Z133)</f>
        <v/>
      </c>
      <c r="I133" s="56"/>
      <c r="J133" s="58"/>
      <c r="K133" s="50" t="str">
        <f aca="false">IF($E133="","",ROUND($E133-N($J133),2))</f>
        <v/>
      </c>
      <c r="L133" s="62" t="str">
        <f aca="false">IF($A133="","",IF($E133="","No action needed",IF(AND(N($J133)&gt;0,$I133=""),"Missing planned date",IF(ROUND(N($J133)-$E133,2)&gt;0,"Planned amount exceeds balance",IF(AND($I133&lt;&gt;"",$I133&lt;Settings!$C$5),"Planned date is in the past",IF(N($J133)&lt;=0,"Not planned yet",IF(ROUND($K133,2)&lt;=0,"Fully planned","Partly planned")))))))</f>
        <v/>
      </c>
    </row>
    <row r="134" customFormat="false" ht="15" hidden="false" customHeight="true" outlineLevel="0" collapsed="false">
      <c r="A134" s="63" t="str">
        <f aca="false">IF('Invoice &amp; Delivery Log'!$A134="","",'Invoice &amp; Delivery Log'!$A134)</f>
        <v/>
      </c>
      <c r="B134" s="55" t="str">
        <f aca="false">IF('Invoice &amp; Delivery Log'!$A134="","",'Invoice &amp; Delivery Log'!$C134)</f>
        <v/>
      </c>
      <c r="C134" s="64" t="str">
        <f aca="false">IF('Invoice &amp; Delivery Log'!$A134="","",'Invoice &amp; Delivery Log'!$H134)</f>
        <v/>
      </c>
      <c r="D134" s="64" t="str">
        <f aca="false">IF('Invoice &amp; Delivery Log'!$A134="","",'Invoice &amp; Delivery Log'!$M134)</f>
        <v/>
      </c>
      <c r="E134" s="70" t="str">
        <f aca="false">IF('Invoice &amp; Delivery Log'!$A134="","",IF('Invoice &amp; Delivery Log'!$Y134="Yes",'Invoice &amp; Delivery Log'!$P134,""))</f>
        <v/>
      </c>
      <c r="F134" s="47" t="str">
        <f aca="false">IF(OR($E134="",$D134=""),"",$D134-Settings!$C$5)</f>
        <v/>
      </c>
      <c r="G134" s="36" t="str">
        <f aca="false">IF($A134="","",IF($E134="","Closed",IF($F134="","No Due Date",IF($F134&lt;0,"Overdue",IF($F134&lt;=Settings!$C$11,"Due in 0-7 Days",IF($F134&lt;=2*Settings!$C$11,"Due in 8-14 Days",IF($F134&lt;=Settings!$C$12,"Due in 15-30 Days","Due in 31+ Days")))))))</f>
        <v/>
      </c>
      <c r="H134" s="29" t="str">
        <f aca="false">IF('Invoice &amp; Delivery Log'!$Z134="","",'Invoice &amp; Delivery Log'!$Z134)</f>
        <v/>
      </c>
      <c r="I134" s="56"/>
      <c r="J134" s="58"/>
      <c r="K134" s="30" t="str">
        <f aca="false">IF($E134="","",ROUND($E134-N($J134),2))</f>
        <v/>
      </c>
      <c r="L134" s="28" t="str">
        <f aca="false">IF($A134="","",IF($E134="","No action needed",IF(AND(N($J134)&gt;0,$I134=""),"Missing planned date",IF(ROUND(N($J134)-$E134,2)&gt;0,"Planned amount exceeds balance",IF(AND($I134&lt;&gt;"",$I134&lt;Settings!$C$5),"Planned date is in the past",IF(N($J134)&lt;=0,"Not planned yet",IF(ROUND($K134,2)&lt;=0,"Fully planned","Partly planned")))))))</f>
        <v/>
      </c>
    </row>
    <row r="135" customFormat="false" ht="15" hidden="false" customHeight="true" outlineLevel="0" collapsed="false">
      <c r="A135" s="65" t="str">
        <f aca="false">IF('Invoice &amp; Delivery Log'!$A135="","",'Invoice &amp; Delivery Log'!$A135)</f>
        <v/>
      </c>
      <c r="B135" s="59" t="str">
        <f aca="false">IF('Invoice &amp; Delivery Log'!$A135="","",'Invoice &amp; Delivery Log'!$C135)</f>
        <v/>
      </c>
      <c r="C135" s="66" t="str">
        <f aca="false">IF('Invoice &amp; Delivery Log'!$A135="","",'Invoice &amp; Delivery Log'!$H135)</f>
        <v/>
      </c>
      <c r="D135" s="66" t="str">
        <f aca="false">IF('Invoice &amp; Delivery Log'!$A135="","",'Invoice &amp; Delivery Log'!$M135)</f>
        <v/>
      </c>
      <c r="E135" s="71" t="str">
        <f aca="false">IF('Invoice &amp; Delivery Log'!$A135="","",IF('Invoice &amp; Delivery Log'!$Y135="Yes",'Invoice &amp; Delivery Log'!$P135,""))</f>
        <v/>
      </c>
      <c r="F135" s="52" t="str">
        <f aca="false">IF(OR($E135="",$D135=""),"",$D135-Settings!$C$5)</f>
        <v/>
      </c>
      <c r="G135" s="53" t="str">
        <f aca="false">IF($A135="","",IF($E135="","Closed",IF($F135="","No Due Date",IF($F135&lt;0,"Overdue",IF($F135&lt;=Settings!$C$11,"Due in 0-7 Days",IF($F135&lt;=2*Settings!$C$11,"Due in 8-14 Days",IF($F135&lt;=Settings!$C$12,"Due in 15-30 Days","Due in 31+ Days")))))))</f>
        <v/>
      </c>
      <c r="H135" s="49" t="str">
        <f aca="false">IF('Invoice &amp; Delivery Log'!$Z135="","",'Invoice &amp; Delivery Log'!$Z135)</f>
        <v/>
      </c>
      <c r="I135" s="56"/>
      <c r="J135" s="58"/>
      <c r="K135" s="50" t="str">
        <f aca="false">IF($E135="","",ROUND($E135-N($J135),2))</f>
        <v/>
      </c>
      <c r="L135" s="62" t="str">
        <f aca="false">IF($A135="","",IF($E135="","No action needed",IF(AND(N($J135)&gt;0,$I135=""),"Missing planned date",IF(ROUND(N($J135)-$E135,2)&gt;0,"Planned amount exceeds balance",IF(AND($I135&lt;&gt;"",$I135&lt;Settings!$C$5),"Planned date is in the past",IF(N($J135)&lt;=0,"Not planned yet",IF(ROUND($K135,2)&lt;=0,"Fully planned","Partly planned")))))))</f>
        <v/>
      </c>
    </row>
    <row r="136" customFormat="false" ht="15" hidden="false" customHeight="true" outlineLevel="0" collapsed="false">
      <c r="A136" s="63" t="str">
        <f aca="false">IF('Invoice &amp; Delivery Log'!$A136="","",'Invoice &amp; Delivery Log'!$A136)</f>
        <v/>
      </c>
      <c r="B136" s="55" t="str">
        <f aca="false">IF('Invoice &amp; Delivery Log'!$A136="","",'Invoice &amp; Delivery Log'!$C136)</f>
        <v/>
      </c>
      <c r="C136" s="64" t="str">
        <f aca="false">IF('Invoice &amp; Delivery Log'!$A136="","",'Invoice &amp; Delivery Log'!$H136)</f>
        <v/>
      </c>
      <c r="D136" s="64" t="str">
        <f aca="false">IF('Invoice &amp; Delivery Log'!$A136="","",'Invoice &amp; Delivery Log'!$M136)</f>
        <v/>
      </c>
      <c r="E136" s="70" t="str">
        <f aca="false">IF('Invoice &amp; Delivery Log'!$A136="","",IF('Invoice &amp; Delivery Log'!$Y136="Yes",'Invoice &amp; Delivery Log'!$P136,""))</f>
        <v/>
      </c>
      <c r="F136" s="47" t="str">
        <f aca="false">IF(OR($E136="",$D136=""),"",$D136-Settings!$C$5)</f>
        <v/>
      </c>
      <c r="G136" s="36" t="str">
        <f aca="false">IF($A136="","",IF($E136="","Closed",IF($F136="","No Due Date",IF($F136&lt;0,"Overdue",IF($F136&lt;=Settings!$C$11,"Due in 0-7 Days",IF($F136&lt;=2*Settings!$C$11,"Due in 8-14 Days",IF($F136&lt;=Settings!$C$12,"Due in 15-30 Days","Due in 31+ Days")))))))</f>
        <v/>
      </c>
      <c r="H136" s="29" t="str">
        <f aca="false">IF('Invoice &amp; Delivery Log'!$Z136="","",'Invoice &amp; Delivery Log'!$Z136)</f>
        <v/>
      </c>
      <c r="I136" s="56"/>
      <c r="J136" s="58"/>
      <c r="K136" s="30" t="str">
        <f aca="false">IF($E136="","",ROUND($E136-N($J136),2))</f>
        <v/>
      </c>
      <c r="L136" s="28" t="str">
        <f aca="false">IF($A136="","",IF($E136="","No action needed",IF(AND(N($J136)&gt;0,$I136=""),"Missing planned date",IF(ROUND(N($J136)-$E136,2)&gt;0,"Planned amount exceeds balance",IF(AND($I136&lt;&gt;"",$I136&lt;Settings!$C$5),"Planned date is in the past",IF(N($J136)&lt;=0,"Not planned yet",IF(ROUND($K136,2)&lt;=0,"Fully planned","Partly planned")))))))</f>
        <v/>
      </c>
    </row>
    <row r="137" customFormat="false" ht="15" hidden="false" customHeight="true" outlineLevel="0" collapsed="false">
      <c r="A137" s="65" t="str">
        <f aca="false">IF('Invoice &amp; Delivery Log'!$A137="","",'Invoice &amp; Delivery Log'!$A137)</f>
        <v/>
      </c>
      <c r="B137" s="59" t="str">
        <f aca="false">IF('Invoice &amp; Delivery Log'!$A137="","",'Invoice &amp; Delivery Log'!$C137)</f>
        <v/>
      </c>
      <c r="C137" s="66" t="str">
        <f aca="false">IF('Invoice &amp; Delivery Log'!$A137="","",'Invoice &amp; Delivery Log'!$H137)</f>
        <v/>
      </c>
      <c r="D137" s="66" t="str">
        <f aca="false">IF('Invoice &amp; Delivery Log'!$A137="","",'Invoice &amp; Delivery Log'!$M137)</f>
        <v/>
      </c>
      <c r="E137" s="71" t="str">
        <f aca="false">IF('Invoice &amp; Delivery Log'!$A137="","",IF('Invoice &amp; Delivery Log'!$Y137="Yes",'Invoice &amp; Delivery Log'!$P137,""))</f>
        <v/>
      </c>
      <c r="F137" s="52" t="str">
        <f aca="false">IF(OR($E137="",$D137=""),"",$D137-Settings!$C$5)</f>
        <v/>
      </c>
      <c r="G137" s="53" t="str">
        <f aca="false">IF($A137="","",IF($E137="","Closed",IF($F137="","No Due Date",IF($F137&lt;0,"Overdue",IF($F137&lt;=Settings!$C$11,"Due in 0-7 Days",IF($F137&lt;=2*Settings!$C$11,"Due in 8-14 Days",IF($F137&lt;=Settings!$C$12,"Due in 15-30 Days","Due in 31+ Days")))))))</f>
        <v/>
      </c>
      <c r="H137" s="49" t="str">
        <f aca="false">IF('Invoice &amp; Delivery Log'!$Z137="","",'Invoice &amp; Delivery Log'!$Z137)</f>
        <v/>
      </c>
      <c r="I137" s="56"/>
      <c r="J137" s="58"/>
      <c r="K137" s="50" t="str">
        <f aca="false">IF($E137="","",ROUND($E137-N($J137),2))</f>
        <v/>
      </c>
      <c r="L137" s="62" t="str">
        <f aca="false">IF($A137="","",IF($E137="","No action needed",IF(AND(N($J137)&gt;0,$I137=""),"Missing planned date",IF(ROUND(N($J137)-$E137,2)&gt;0,"Planned amount exceeds balance",IF(AND($I137&lt;&gt;"",$I137&lt;Settings!$C$5),"Planned date is in the past",IF(N($J137)&lt;=0,"Not planned yet",IF(ROUND($K137,2)&lt;=0,"Fully planned","Partly planned")))))))</f>
        <v/>
      </c>
    </row>
    <row r="138" customFormat="false" ht="15" hidden="false" customHeight="true" outlineLevel="0" collapsed="false">
      <c r="A138" s="63" t="str">
        <f aca="false">IF('Invoice &amp; Delivery Log'!$A138="","",'Invoice &amp; Delivery Log'!$A138)</f>
        <v/>
      </c>
      <c r="B138" s="55" t="str">
        <f aca="false">IF('Invoice &amp; Delivery Log'!$A138="","",'Invoice &amp; Delivery Log'!$C138)</f>
        <v/>
      </c>
      <c r="C138" s="64" t="str">
        <f aca="false">IF('Invoice &amp; Delivery Log'!$A138="","",'Invoice &amp; Delivery Log'!$H138)</f>
        <v/>
      </c>
      <c r="D138" s="64" t="str">
        <f aca="false">IF('Invoice &amp; Delivery Log'!$A138="","",'Invoice &amp; Delivery Log'!$M138)</f>
        <v/>
      </c>
      <c r="E138" s="70" t="str">
        <f aca="false">IF('Invoice &amp; Delivery Log'!$A138="","",IF('Invoice &amp; Delivery Log'!$Y138="Yes",'Invoice &amp; Delivery Log'!$P138,""))</f>
        <v/>
      </c>
      <c r="F138" s="47" t="str">
        <f aca="false">IF(OR($E138="",$D138=""),"",$D138-Settings!$C$5)</f>
        <v/>
      </c>
      <c r="G138" s="36" t="str">
        <f aca="false">IF($A138="","",IF($E138="","Closed",IF($F138="","No Due Date",IF($F138&lt;0,"Overdue",IF($F138&lt;=Settings!$C$11,"Due in 0-7 Days",IF($F138&lt;=2*Settings!$C$11,"Due in 8-14 Days",IF($F138&lt;=Settings!$C$12,"Due in 15-30 Days","Due in 31+ Days")))))))</f>
        <v/>
      </c>
      <c r="H138" s="29" t="str">
        <f aca="false">IF('Invoice &amp; Delivery Log'!$Z138="","",'Invoice &amp; Delivery Log'!$Z138)</f>
        <v/>
      </c>
      <c r="I138" s="56"/>
      <c r="J138" s="58"/>
      <c r="K138" s="30" t="str">
        <f aca="false">IF($E138="","",ROUND($E138-N($J138),2))</f>
        <v/>
      </c>
      <c r="L138" s="28" t="str">
        <f aca="false">IF($A138="","",IF($E138="","No action needed",IF(AND(N($J138)&gt;0,$I138=""),"Missing planned date",IF(ROUND(N($J138)-$E138,2)&gt;0,"Planned amount exceeds balance",IF(AND($I138&lt;&gt;"",$I138&lt;Settings!$C$5),"Planned date is in the past",IF(N($J138)&lt;=0,"Not planned yet",IF(ROUND($K138,2)&lt;=0,"Fully planned","Partly planned")))))))</f>
        <v/>
      </c>
    </row>
    <row r="139" customFormat="false" ht="15" hidden="false" customHeight="true" outlineLevel="0" collapsed="false">
      <c r="A139" s="65" t="str">
        <f aca="false">IF('Invoice &amp; Delivery Log'!$A139="","",'Invoice &amp; Delivery Log'!$A139)</f>
        <v/>
      </c>
      <c r="B139" s="59" t="str">
        <f aca="false">IF('Invoice &amp; Delivery Log'!$A139="","",'Invoice &amp; Delivery Log'!$C139)</f>
        <v/>
      </c>
      <c r="C139" s="66" t="str">
        <f aca="false">IF('Invoice &amp; Delivery Log'!$A139="","",'Invoice &amp; Delivery Log'!$H139)</f>
        <v/>
      </c>
      <c r="D139" s="66" t="str">
        <f aca="false">IF('Invoice &amp; Delivery Log'!$A139="","",'Invoice &amp; Delivery Log'!$M139)</f>
        <v/>
      </c>
      <c r="E139" s="71" t="str">
        <f aca="false">IF('Invoice &amp; Delivery Log'!$A139="","",IF('Invoice &amp; Delivery Log'!$Y139="Yes",'Invoice &amp; Delivery Log'!$P139,""))</f>
        <v/>
      </c>
      <c r="F139" s="52" t="str">
        <f aca="false">IF(OR($E139="",$D139=""),"",$D139-Settings!$C$5)</f>
        <v/>
      </c>
      <c r="G139" s="53" t="str">
        <f aca="false">IF($A139="","",IF($E139="","Closed",IF($F139="","No Due Date",IF($F139&lt;0,"Overdue",IF($F139&lt;=Settings!$C$11,"Due in 0-7 Days",IF($F139&lt;=2*Settings!$C$11,"Due in 8-14 Days",IF($F139&lt;=Settings!$C$12,"Due in 15-30 Days","Due in 31+ Days")))))))</f>
        <v/>
      </c>
      <c r="H139" s="49" t="str">
        <f aca="false">IF('Invoice &amp; Delivery Log'!$Z139="","",'Invoice &amp; Delivery Log'!$Z139)</f>
        <v/>
      </c>
      <c r="I139" s="56"/>
      <c r="J139" s="58"/>
      <c r="K139" s="50" t="str">
        <f aca="false">IF($E139="","",ROUND($E139-N($J139),2))</f>
        <v/>
      </c>
      <c r="L139" s="62" t="str">
        <f aca="false">IF($A139="","",IF($E139="","No action needed",IF(AND(N($J139)&gt;0,$I139=""),"Missing planned date",IF(ROUND(N($J139)-$E139,2)&gt;0,"Planned amount exceeds balance",IF(AND($I139&lt;&gt;"",$I139&lt;Settings!$C$5),"Planned date is in the past",IF(N($J139)&lt;=0,"Not planned yet",IF(ROUND($K139,2)&lt;=0,"Fully planned","Partly planned")))))))</f>
        <v/>
      </c>
    </row>
    <row r="140" customFormat="false" ht="15" hidden="false" customHeight="true" outlineLevel="0" collapsed="false">
      <c r="A140" s="63" t="str">
        <f aca="false">IF('Invoice &amp; Delivery Log'!$A140="","",'Invoice &amp; Delivery Log'!$A140)</f>
        <v/>
      </c>
      <c r="B140" s="55" t="str">
        <f aca="false">IF('Invoice &amp; Delivery Log'!$A140="","",'Invoice &amp; Delivery Log'!$C140)</f>
        <v/>
      </c>
      <c r="C140" s="64" t="str">
        <f aca="false">IF('Invoice &amp; Delivery Log'!$A140="","",'Invoice &amp; Delivery Log'!$H140)</f>
        <v/>
      </c>
      <c r="D140" s="64" t="str">
        <f aca="false">IF('Invoice &amp; Delivery Log'!$A140="","",'Invoice &amp; Delivery Log'!$M140)</f>
        <v/>
      </c>
      <c r="E140" s="70" t="str">
        <f aca="false">IF('Invoice &amp; Delivery Log'!$A140="","",IF('Invoice &amp; Delivery Log'!$Y140="Yes",'Invoice &amp; Delivery Log'!$P140,""))</f>
        <v/>
      </c>
      <c r="F140" s="47" t="str">
        <f aca="false">IF(OR($E140="",$D140=""),"",$D140-Settings!$C$5)</f>
        <v/>
      </c>
      <c r="G140" s="36" t="str">
        <f aca="false">IF($A140="","",IF($E140="","Closed",IF($F140="","No Due Date",IF($F140&lt;0,"Overdue",IF($F140&lt;=Settings!$C$11,"Due in 0-7 Days",IF($F140&lt;=2*Settings!$C$11,"Due in 8-14 Days",IF($F140&lt;=Settings!$C$12,"Due in 15-30 Days","Due in 31+ Days")))))))</f>
        <v/>
      </c>
      <c r="H140" s="29" t="str">
        <f aca="false">IF('Invoice &amp; Delivery Log'!$Z140="","",'Invoice &amp; Delivery Log'!$Z140)</f>
        <v/>
      </c>
      <c r="I140" s="56"/>
      <c r="J140" s="58"/>
      <c r="K140" s="30" t="str">
        <f aca="false">IF($E140="","",ROUND($E140-N($J140),2))</f>
        <v/>
      </c>
      <c r="L140" s="28" t="str">
        <f aca="false">IF($A140="","",IF($E140="","No action needed",IF(AND(N($J140)&gt;0,$I140=""),"Missing planned date",IF(ROUND(N($J140)-$E140,2)&gt;0,"Planned amount exceeds balance",IF(AND($I140&lt;&gt;"",$I140&lt;Settings!$C$5),"Planned date is in the past",IF(N($J140)&lt;=0,"Not planned yet",IF(ROUND($K140,2)&lt;=0,"Fully planned","Partly planned")))))))</f>
        <v/>
      </c>
    </row>
    <row r="141" customFormat="false" ht="15" hidden="false" customHeight="true" outlineLevel="0" collapsed="false">
      <c r="A141" s="65" t="str">
        <f aca="false">IF('Invoice &amp; Delivery Log'!$A141="","",'Invoice &amp; Delivery Log'!$A141)</f>
        <v/>
      </c>
      <c r="B141" s="59" t="str">
        <f aca="false">IF('Invoice &amp; Delivery Log'!$A141="","",'Invoice &amp; Delivery Log'!$C141)</f>
        <v/>
      </c>
      <c r="C141" s="66" t="str">
        <f aca="false">IF('Invoice &amp; Delivery Log'!$A141="","",'Invoice &amp; Delivery Log'!$H141)</f>
        <v/>
      </c>
      <c r="D141" s="66" t="str">
        <f aca="false">IF('Invoice &amp; Delivery Log'!$A141="","",'Invoice &amp; Delivery Log'!$M141)</f>
        <v/>
      </c>
      <c r="E141" s="71" t="str">
        <f aca="false">IF('Invoice &amp; Delivery Log'!$A141="","",IF('Invoice &amp; Delivery Log'!$Y141="Yes",'Invoice &amp; Delivery Log'!$P141,""))</f>
        <v/>
      </c>
      <c r="F141" s="52" t="str">
        <f aca="false">IF(OR($E141="",$D141=""),"",$D141-Settings!$C$5)</f>
        <v/>
      </c>
      <c r="G141" s="53" t="str">
        <f aca="false">IF($A141="","",IF($E141="","Closed",IF($F141="","No Due Date",IF($F141&lt;0,"Overdue",IF($F141&lt;=Settings!$C$11,"Due in 0-7 Days",IF($F141&lt;=2*Settings!$C$11,"Due in 8-14 Days",IF($F141&lt;=Settings!$C$12,"Due in 15-30 Days","Due in 31+ Days")))))))</f>
        <v/>
      </c>
      <c r="H141" s="49" t="str">
        <f aca="false">IF('Invoice &amp; Delivery Log'!$Z141="","",'Invoice &amp; Delivery Log'!$Z141)</f>
        <v/>
      </c>
      <c r="I141" s="56"/>
      <c r="J141" s="58"/>
      <c r="K141" s="50" t="str">
        <f aca="false">IF($E141="","",ROUND($E141-N($J141),2))</f>
        <v/>
      </c>
      <c r="L141" s="62" t="str">
        <f aca="false">IF($A141="","",IF($E141="","No action needed",IF(AND(N($J141)&gt;0,$I141=""),"Missing planned date",IF(ROUND(N($J141)-$E141,2)&gt;0,"Planned amount exceeds balance",IF(AND($I141&lt;&gt;"",$I141&lt;Settings!$C$5),"Planned date is in the past",IF(N($J141)&lt;=0,"Not planned yet",IF(ROUND($K141,2)&lt;=0,"Fully planned","Partly planned")))))))</f>
        <v/>
      </c>
    </row>
    <row r="142" customFormat="false" ht="15" hidden="false" customHeight="true" outlineLevel="0" collapsed="false">
      <c r="A142" s="63" t="str">
        <f aca="false">IF('Invoice &amp; Delivery Log'!$A142="","",'Invoice &amp; Delivery Log'!$A142)</f>
        <v/>
      </c>
      <c r="B142" s="55" t="str">
        <f aca="false">IF('Invoice &amp; Delivery Log'!$A142="","",'Invoice &amp; Delivery Log'!$C142)</f>
        <v/>
      </c>
      <c r="C142" s="64" t="str">
        <f aca="false">IF('Invoice &amp; Delivery Log'!$A142="","",'Invoice &amp; Delivery Log'!$H142)</f>
        <v/>
      </c>
      <c r="D142" s="64" t="str">
        <f aca="false">IF('Invoice &amp; Delivery Log'!$A142="","",'Invoice &amp; Delivery Log'!$M142)</f>
        <v/>
      </c>
      <c r="E142" s="70" t="str">
        <f aca="false">IF('Invoice &amp; Delivery Log'!$A142="","",IF('Invoice &amp; Delivery Log'!$Y142="Yes",'Invoice &amp; Delivery Log'!$P142,""))</f>
        <v/>
      </c>
      <c r="F142" s="47" t="str">
        <f aca="false">IF(OR($E142="",$D142=""),"",$D142-Settings!$C$5)</f>
        <v/>
      </c>
      <c r="G142" s="36" t="str">
        <f aca="false">IF($A142="","",IF($E142="","Closed",IF($F142="","No Due Date",IF($F142&lt;0,"Overdue",IF($F142&lt;=Settings!$C$11,"Due in 0-7 Days",IF($F142&lt;=2*Settings!$C$11,"Due in 8-14 Days",IF($F142&lt;=Settings!$C$12,"Due in 15-30 Days","Due in 31+ Days")))))))</f>
        <v/>
      </c>
      <c r="H142" s="29" t="str">
        <f aca="false">IF('Invoice &amp; Delivery Log'!$Z142="","",'Invoice &amp; Delivery Log'!$Z142)</f>
        <v/>
      </c>
      <c r="I142" s="56"/>
      <c r="J142" s="58"/>
      <c r="K142" s="30" t="str">
        <f aca="false">IF($E142="","",ROUND($E142-N($J142),2))</f>
        <v/>
      </c>
      <c r="L142" s="28" t="str">
        <f aca="false">IF($A142="","",IF($E142="","No action needed",IF(AND(N($J142)&gt;0,$I142=""),"Missing planned date",IF(ROUND(N($J142)-$E142,2)&gt;0,"Planned amount exceeds balance",IF(AND($I142&lt;&gt;"",$I142&lt;Settings!$C$5),"Planned date is in the past",IF(N($J142)&lt;=0,"Not planned yet",IF(ROUND($K142,2)&lt;=0,"Fully planned","Partly planned")))))))</f>
        <v/>
      </c>
    </row>
    <row r="143" customFormat="false" ht="15" hidden="false" customHeight="true" outlineLevel="0" collapsed="false">
      <c r="A143" s="65" t="str">
        <f aca="false">IF('Invoice &amp; Delivery Log'!$A143="","",'Invoice &amp; Delivery Log'!$A143)</f>
        <v/>
      </c>
      <c r="B143" s="59" t="str">
        <f aca="false">IF('Invoice &amp; Delivery Log'!$A143="","",'Invoice &amp; Delivery Log'!$C143)</f>
        <v/>
      </c>
      <c r="C143" s="66" t="str">
        <f aca="false">IF('Invoice &amp; Delivery Log'!$A143="","",'Invoice &amp; Delivery Log'!$H143)</f>
        <v/>
      </c>
      <c r="D143" s="66" t="str">
        <f aca="false">IF('Invoice &amp; Delivery Log'!$A143="","",'Invoice &amp; Delivery Log'!$M143)</f>
        <v/>
      </c>
      <c r="E143" s="71" t="str">
        <f aca="false">IF('Invoice &amp; Delivery Log'!$A143="","",IF('Invoice &amp; Delivery Log'!$Y143="Yes",'Invoice &amp; Delivery Log'!$P143,""))</f>
        <v/>
      </c>
      <c r="F143" s="52" t="str">
        <f aca="false">IF(OR($E143="",$D143=""),"",$D143-Settings!$C$5)</f>
        <v/>
      </c>
      <c r="G143" s="53" t="str">
        <f aca="false">IF($A143="","",IF($E143="","Closed",IF($F143="","No Due Date",IF($F143&lt;0,"Overdue",IF($F143&lt;=Settings!$C$11,"Due in 0-7 Days",IF($F143&lt;=2*Settings!$C$11,"Due in 8-14 Days",IF($F143&lt;=Settings!$C$12,"Due in 15-30 Days","Due in 31+ Days")))))))</f>
        <v/>
      </c>
      <c r="H143" s="49" t="str">
        <f aca="false">IF('Invoice &amp; Delivery Log'!$Z143="","",'Invoice &amp; Delivery Log'!$Z143)</f>
        <v/>
      </c>
      <c r="I143" s="56"/>
      <c r="J143" s="58"/>
      <c r="K143" s="50" t="str">
        <f aca="false">IF($E143="","",ROUND($E143-N($J143),2))</f>
        <v/>
      </c>
      <c r="L143" s="62" t="str">
        <f aca="false">IF($A143="","",IF($E143="","No action needed",IF(AND(N($J143)&gt;0,$I143=""),"Missing planned date",IF(ROUND(N($J143)-$E143,2)&gt;0,"Planned amount exceeds balance",IF(AND($I143&lt;&gt;"",$I143&lt;Settings!$C$5),"Planned date is in the past",IF(N($J143)&lt;=0,"Not planned yet",IF(ROUND($K143,2)&lt;=0,"Fully planned","Partly planned")))))))</f>
        <v/>
      </c>
    </row>
    <row r="144" customFormat="false" ht="15" hidden="false" customHeight="true" outlineLevel="0" collapsed="false">
      <c r="A144" s="63" t="str">
        <f aca="false">IF('Invoice &amp; Delivery Log'!$A144="","",'Invoice &amp; Delivery Log'!$A144)</f>
        <v/>
      </c>
      <c r="B144" s="55" t="str">
        <f aca="false">IF('Invoice &amp; Delivery Log'!$A144="","",'Invoice &amp; Delivery Log'!$C144)</f>
        <v/>
      </c>
      <c r="C144" s="64" t="str">
        <f aca="false">IF('Invoice &amp; Delivery Log'!$A144="","",'Invoice &amp; Delivery Log'!$H144)</f>
        <v/>
      </c>
      <c r="D144" s="64" t="str">
        <f aca="false">IF('Invoice &amp; Delivery Log'!$A144="","",'Invoice &amp; Delivery Log'!$M144)</f>
        <v/>
      </c>
      <c r="E144" s="70" t="str">
        <f aca="false">IF('Invoice &amp; Delivery Log'!$A144="","",IF('Invoice &amp; Delivery Log'!$Y144="Yes",'Invoice &amp; Delivery Log'!$P144,""))</f>
        <v/>
      </c>
      <c r="F144" s="47" t="str">
        <f aca="false">IF(OR($E144="",$D144=""),"",$D144-Settings!$C$5)</f>
        <v/>
      </c>
      <c r="G144" s="36" t="str">
        <f aca="false">IF($A144="","",IF($E144="","Closed",IF($F144="","No Due Date",IF($F144&lt;0,"Overdue",IF($F144&lt;=Settings!$C$11,"Due in 0-7 Days",IF($F144&lt;=2*Settings!$C$11,"Due in 8-14 Days",IF($F144&lt;=Settings!$C$12,"Due in 15-30 Days","Due in 31+ Days")))))))</f>
        <v/>
      </c>
      <c r="H144" s="29" t="str">
        <f aca="false">IF('Invoice &amp; Delivery Log'!$Z144="","",'Invoice &amp; Delivery Log'!$Z144)</f>
        <v/>
      </c>
      <c r="I144" s="56"/>
      <c r="J144" s="58"/>
      <c r="K144" s="30" t="str">
        <f aca="false">IF($E144="","",ROUND($E144-N($J144),2))</f>
        <v/>
      </c>
      <c r="L144" s="28" t="str">
        <f aca="false">IF($A144="","",IF($E144="","No action needed",IF(AND(N($J144)&gt;0,$I144=""),"Missing planned date",IF(ROUND(N($J144)-$E144,2)&gt;0,"Planned amount exceeds balance",IF(AND($I144&lt;&gt;"",$I144&lt;Settings!$C$5),"Planned date is in the past",IF(N($J144)&lt;=0,"Not planned yet",IF(ROUND($K144,2)&lt;=0,"Fully planned","Partly planned")))))))</f>
        <v/>
      </c>
    </row>
    <row r="145" customFormat="false" ht="15" hidden="false" customHeight="true" outlineLevel="0" collapsed="false">
      <c r="A145" s="65" t="str">
        <f aca="false">IF('Invoice &amp; Delivery Log'!$A145="","",'Invoice &amp; Delivery Log'!$A145)</f>
        <v/>
      </c>
      <c r="B145" s="59" t="str">
        <f aca="false">IF('Invoice &amp; Delivery Log'!$A145="","",'Invoice &amp; Delivery Log'!$C145)</f>
        <v/>
      </c>
      <c r="C145" s="66" t="str">
        <f aca="false">IF('Invoice &amp; Delivery Log'!$A145="","",'Invoice &amp; Delivery Log'!$H145)</f>
        <v/>
      </c>
      <c r="D145" s="66" t="str">
        <f aca="false">IF('Invoice &amp; Delivery Log'!$A145="","",'Invoice &amp; Delivery Log'!$M145)</f>
        <v/>
      </c>
      <c r="E145" s="71" t="str">
        <f aca="false">IF('Invoice &amp; Delivery Log'!$A145="","",IF('Invoice &amp; Delivery Log'!$Y145="Yes",'Invoice &amp; Delivery Log'!$P145,""))</f>
        <v/>
      </c>
      <c r="F145" s="52" t="str">
        <f aca="false">IF(OR($E145="",$D145=""),"",$D145-Settings!$C$5)</f>
        <v/>
      </c>
      <c r="G145" s="53" t="str">
        <f aca="false">IF($A145="","",IF($E145="","Closed",IF($F145="","No Due Date",IF($F145&lt;0,"Overdue",IF($F145&lt;=Settings!$C$11,"Due in 0-7 Days",IF($F145&lt;=2*Settings!$C$11,"Due in 8-14 Days",IF($F145&lt;=Settings!$C$12,"Due in 15-30 Days","Due in 31+ Days")))))))</f>
        <v/>
      </c>
      <c r="H145" s="49" t="str">
        <f aca="false">IF('Invoice &amp; Delivery Log'!$Z145="","",'Invoice &amp; Delivery Log'!$Z145)</f>
        <v/>
      </c>
      <c r="I145" s="56"/>
      <c r="J145" s="58"/>
      <c r="K145" s="50" t="str">
        <f aca="false">IF($E145="","",ROUND($E145-N($J145),2))</f>
        <v/>
      </c>
      <c r="L145" s="62" t="str">
        <f aca="false">IF($A145="","",IF($E145="","No action needed",IF(AND(N($J145)&gt;0,$I145=""),"Missing planned date",IF(ROUND(N($J145)-$E145,2)&gt;0,"Planned amount exceeds balance",IF(AND($I145&lt;&gt;"",$I145&lt;Settings!$C$5),"Planned date is in the past",IF(N($J145)&lt;=0,"Not planned yet",IF(ROUND($K145,2)&lt;=0,"Fully planned","Partly planned")))))))</f>
        <v/>
      </c>
    </row>
    <row r="146" customFormat="false" ht="15" hidden="false" customHeight="true" outlineLevel="0" collapsed="false">
      <c r="A146" s="63" t="str">
        <f aca="false">IF('Invoice &amp; Delivery Log'!$A146="","",'Invoice &amp; Delivery Log'!$A146)</f>
        <v/>
      </c>
      <c r="B146" s="55" t="str">
        <f aca="false">IF('Invoice &amp; Delivery Log'!$A146="","",'Invoice &amp; Delivery Log'!$C146)</f>
        <v/>
      </c>
      <c r="C146" s="64" t="str">
        <f aca="false">IF('Invoice &amp; Delivery Log'!$A146="","",'Invoice &amp; Delivery Log'!$H146)</f>
        <v/>
      </c>
      <c r="D146" s="64" t="str">
        <f aca="false">IF('Invoice &amp; Delivery Log'!$A146="","",'Invoice &amp; Delivery Log'!$M146)</f>
        <v/>
      </c>
      <c r="E146" s="70" t="str">
        <f aca="false">IF('Invoice &amp; Delivery Log'!$A146="","",IF('Invoice &amp; Delivery Log'!$Y146="Yes",'Invoice &amp; Delivery Log'!$P146,""))</f>
        <v/>
      </c>
      <c r="F146" s="47" t="str">
        <f aca="false">IF(OR($E146="",$D146=""),"",$D146-Settings!$C$5)</f>
        <v/>
      </c>
      <c r="G146" s="36" t="str">
        <f aca="false">IF($A146="","",IF($E146="","Closed",IF($F146="","No Due Date",IF($F146&lt;0,"Overdue",IF($F146&lt;=Settings!$C$11,"Due in 0-7 Days",IF($F146&lt;=2*Settings!$C$11,"Due in 8-14 Days",IF($F146&lt;=Settings!$C$12,"Due in 15-30 Days","Due in 31+ Days")))))))</f>
        <v/>
      </c>
      <c r="H146" s="29" t="str">
        <f aca="false">IF('Invoice &amp; Delivery Log'!$Z146="","",'Invoice &amp; Delivery Log'!$Z146)</f>
        <v/>
      </c>
      <c r="I146" s="56"/>
      <c r="J146" s="58"/>
      <c r="K146" s="30" t="str">
        <f aca="false">IF($E146="","",ROUND($E146-N($J146),2))</f>
        <v/>
      </c>
      <c r="L146" s="28" t="str">
        <f aca="false">IF($A146="","",IF($E146="","No action needed",IF(AND(N($J146)&gt;0,$I146=""),"Missing planned date",IF(ROUND(N($J146)-$E146,2)&gt;0,"Planned amount exceeds balance",IF(AND($I146&lt;&gt;"",$I146&lt;Settings!$C$5),"Planned date is in the past",IF(N($J146)&lt;=0,"Not planned yet",IF(ROUND($K146,2)&lt;=0,"Fully planned","Partly planned")))))))</f>
        <v/>
      </c>
    </row>
    <row r="147" customFormat="false" ht="15" hidden="false" customHeight="true" outlineLevel="0" collapsed="false">
      <c r="A147" s="65" t="str">
        <f aca="false">IF('Invoice &amp; Delivery Log'!$A147="","",'Invoice &amp; Delivery Log'!$A147)</f>
        <v/>
      </c>
      <c r="B147" s="59" t="str">
        <f aca="false">IF('Invoice &amp; Delivery Log'!$A147="","",'Invoice &amp; Delivery Log'!$C147)</f>
        <v/>
      </c>
      <c r="C147" s="66" t="str">
        <f aca="false">IF('Invoice &amp; Delivery Log'!$A147="","",'Invoice &amp; Delivery Log'!$H147)</f>
        <v/>
      </c>
      <c r="D147" s="66" t="str">
        <f aca="false">IF('Invoice &amp; Delivery Log'!$A147="","",'Invoice &amp; Delivery Log'!$M147)</f>
        <v/>
      </c>
      <c r="E147" s="71" t="str">
        <f aca="false">IF('Invoice &amp; Delivery Log'!$A147="","",IF('Invoice &amp; Delivery Log'!$Y147="Yes",'Invoice &amp; Delivery Log'!$P147,""))</f>
        <v/>
      </c>
      <c r="F147" s="52" t="str">
        <f aca="false">IF(OR($E147="",$D147=""),"",$D147-Settings!$C$5)</f>
        <v/>
      </c>
      <c r="G147" s="53" t="str">
        <f aca="false">IF($A147="","",IF($E147="","Closed",IF($F147="","No Due Date",IF($F147&lt;0,"Overdue",IF($F147&lt;=Settings!$C$11,"Due in 0-7 Days",IF($F147&lt;=2*Settings!$C$11,"Due in 8-14 Days",IF($F147&lt;=Settings!$C$12,"Due in 15-30 Days","Due in 31+ Days")))))))</f>
        <v/>
      </c>
      <c r="H147" s="49" t="str">
        <f aca="false">IF('Invoice &amp; Delivery Log'!$Z147="","",'Invoice &amp; Delivery Log'!$Z147)</f>
        <v/>
      </c>
      <c r="I147" s="56"/>
      <c r="J147" s="58"/>
      <c r="K147" s="50" t="str">
        <f aca="false">IF($E147="","",ROUND($E147-N($J147),2))</f>
        <v/>
      </c>
      <c r="L147" s="62" t="str">
        <f aca="false">IF($A147="","",IF($E147="","No action needed",IF(AND(N($J147)&gt;0,$I147=""),"Missing planned date",IF(ROUND(N($J147)-$E147,2)&gt;0,"Planned amount exceeds balance",IF(AND($I147&lt;&gt;"",$I147&lt;Settings!$C$5),"Planned date is in the past",IF(N($J147)&lt;=0,"Not planned yet",IF(ROUND($K147,2)&lt;=0,"Fully planned","Partly planned")))))))</f>
        <v/>
      </c>
    </row>
    <row r="148" customFormat="false" ht="15" hidden="false" customHeight="true" outlineLevel="0" collapsed="false">
      <c r="A148" s="63" t="str">
        <f aca="false">IF('Invoice &amp; Delivery Log'!$A148="","",'Invoice &amp; Delivery Log'!$A148)</f>
        <v/>
      </c>
      <c r="B148" s="55" t="str">
        <f aca="false">IF('Invoice &amp; Delivery Log'!$A148="","",'Invoice &amp; Delivery Log'!$C148)</f>
        <v/>
      </c>
      <c r="C148" s="64" t="str">
        <f aca="false">IF('Invoice &amp; Delivery Log'!$A148="","",'Invoice &amp; Delivery Log'!$H148)</f>
        <v/>
      </c>
      <c r="D148" s="64" t="str">
        <f aca="false">IF('Invoice &amp; Delivery Log'!$A148="","",'Invoice &amp; Delivery Log'!$M148)</f>
        <v/>
      </c>
      <c r="E148" s="70" t="str">
        <f aca="false">IF('Invoice &amp; Delivery Log'!$A148="","",IF('Invoice &amp; Delivery Log'!$Y148="Yes",'Invoice &amp; Delivery Log'!$P148,""))</f>
        <v/>
      </c>
      <c r="F148" s="47" t="str">
        <f aca="false">IF(OR($E148="",$D148=""),"",$D148-Settings!$C$5)</f>
        <v/>
      </c>
      <c r="G148" s="36" t="str">
        <f aca="false">IF($A148="","",IF($E148="","Closed",IF($F148="","No Due Date",IF($F148&lt;0,"Overdue",IF($F148&lt;=Settings!$C$11,"Due in 0-7 Days",IF($F148&lt;=2*Settings!$C$11,"Due in 8-14 Days",IF($F148&lt;=Settings!$C$12,"Due in 15-30 Days","Due in 31+ Days")))))))</f>
        <v/>
      </c>
      <c r="H148" s="29" t="str">
        <f aca="false">IF('Invoice &amp; Delivery Log'!$Z148="","",'Invoice &amp; Delivery Log'!$Z148)</f>
        <v/>
      </c>
      <c r="I148" s="56"/>
      <c r="J148" s="58"/>
      <c r="K148" s="30" t="str">
        <f aca="false">IF($E148="","",ROUND($E148-N($J148),2))</f>
        <v/>
      </c>
      <c r="L148" s="28" t="str">
        <f aca="false">IF($A148="","",IF($E148="","No action needed",IF(AND(N($J148)&gt;0,$I148=""),"Missing planned date",IF(ROUND(N($J148)-$E148,2)&gt;0,"Planned amount exceeds balance",IF(AND($I148&lt;&gt;"",$I148&lt;Settings!$C$5),"Planned date is in the past",IF(N($J148)&lt;=0,"Not planned yet",IF(ROUND($K148,2)&lt;=0,"Fully planned","Partly planned")))))))</f>
        <v/>
      </c>
    </row>
    <row r="149" customFormat="false" ht="15" hidden="false" customHeight="true" outlineLevel="0" collapsed="false">
      <c r="A149" s="65" t="str">
        <f aca="false">IF('Invoice &amp; Delivery Log'!$A149="","",'Invoice &amp; Delivery Log'!$A149)</f>
        <v/>
      </c>
      <c r="B149" s="59" t="str">
        <f aca="false">IF('Invoice &amp; Delivery Log'!$A149="","",'Invoice &amp; Delivery Log'!$C149)</f>
        <v/>
      </c>
      <c r="C149" s="66" t="str">
        <f aca="false">IF('Invoice &amp; Delivery Log'!$A149="","",'Invoice &amp; Delivery Log'!$H149)</f>
        <v/>
      </c>
      <c r="D149" s="66" t="str">
        <f aca="false">IF('Invoice &amp; Delivery Log'!$A149="","",'Invoice &amp; Delivery Log'!$M149)</f>
        <v/>
      </c>
      <c r="E149" s="71" t="str">
        <f aca="false">IF('Invoice &amp; Delivery Log'!$A149="","",IF('Invoice &amp; Delivery Log'!$Y149="Yes",'Invoice &amp; Delivery Log'!$P149,""))</f>
        <v/>
      </c>
      <c r="F149" s="52" t="str">
        <f aca="false">IF(OR($E149="",$D149=""),"",$D149-Settings!$C$5)</f>
        <v/>
      </c>
      <c r="G149" s="53" t="str">
        <f aca="false">IF($A149="","",IF($E149="","Closed",IF($F149="","No Due Date",IF($F149&lt;0,"Overdue",IF($F149&lt;=Settings!$C$11,"Due in 0-7 Days",IF($F149&lt;=2*Settings!$C$11,"Due in 8-14 Days",IF($F149&lt;=Settings!$C$12,"Due in 15-30 Days","Due in 31+ Days")))))))</f>
        <v/>
      </c>
      <c r="H149" s="49" t="str">
        <f aca="false">IF('Invoice &amp; Delivery Log'!$Z149="","",'Invoice &amp; Delivery Log'!$Z149)</f>
        <v/>
      </c>
      <c r="I149" s="56"/>
      <c r="J149" s="58"/>
      <c r="K149" s="50" t="str">
        <f aca="false">IF($E149="","",ROUND($E149-N($J149),2))</f>
        <v/>
      </c>
      <c r="L149" s="62" t="str">
        <f aca="false">IF($A149="","",IF($E149="","No action needed",IF(AND(N($J149)&gt;0,$I149=""),"Missing planned date",IF(ROUND(N($J149)-$E149,2)&gt;0,"Planned amount exceeds balance",IF(AND($I149&lt;&gt;"",$I149&lt;Settings!$C$5),"Planned date is in the past",IF(N($J149)&lt;=0,"Not planned yet",IF(ROUND($K149,2)&lt;=0,"Fully planned","Partly planned")))))))</f>
        <v/>
      </c>
    </row>
    <row r="150" customFormat="false" ht="15" hidden="false" customHeight="true" outlineLevel="0" collapsed="false">
      <c r="A150" s="63" t="str">
        <f aca="false">IF('Invoice &amp; Delivery Log'!$A150="","",'Invoice &amp; Delivery Log'!$A150)</f>
        <v/>
      </c>
      <c r="B150" s="55" t="str">
        <f aca="false">IF('Invoice &amp; Delivery Log'!$A150="","",'Invoice &amp; Delivery Log'!$C150)</f>
        <v/>
      </c>
      <c r="C150" s="64" t="str">
        <f aca="false">IF('Invoice &amp; Delivery Log'!$A150="","",'Invoice &amp; Delivery Log'!$H150)</f>
        <v/>
      </c>
      <c r="D150" s="64" t="str">
        <f aca="false">IF('Invoice &amp; Delivery Log'!$A150="","",'Invoice &amp; Delivery Log'!$M150)</f>
        <v/>
      </c>
      <c r="E150" s="70" t="str">
        <f aca="false">IF('Invoice &amp; Delivery Log'!$A150="","",IF('Invoice &amp; Delivery Log'!$Y150="Yes",'Invoice &amp; Delivery Log'!$P150,""))</f>
        <v/>
      </c>
      <c r="F150" s="47" t="str">
        <f aca="false">IF(OR($E150="",$D150=""),"",$D150-Settings!$C$5)</f>
        <v/>
      </c>
      <c r="G150" s="36" t="str">
        <f aca="false">IF($A150="","",IF($E150="","Closed",IF($F150="","No Due Date",IF($F150&lt;0,"Overdue",IF($F150&lt;=Settings!$C$11,"Due in 0-7 Days",IF($F150&lt;=2*Settings!$C$11,"Due in 8-14 Days",IF($F150&lt;=Settings!$C$12,"Due in 15-30 Days","Due in 31+ Days")))))))</f>
        <v/>
      </c>
      <c r="H150" s="29" t="str">
        <f aca="false">IF('Invoice &amp; Delivery Log'!$Z150="","",'Invoice &amp; Delivery Log'!$Z150)</f>
        <v/>
      </c>
      <c r="I150" s="56"/>
      <c r="J150" s="58"/>
      <c r="K150" s="30" t="str">
        <f aca="false">IF($E150="","",ROUND($E150-N($J150),2))</f>
        <v/>
      </c>
      <c r="L150" s="28" t="str">
        <f aca="false">IF($A150="","",IF($E150="","No action needed",IF(AND(N($J150)&gt;0,$I150=""),"Missing planned date",IF(ROUND(N($J150)-$E150,2)&gt;0,"Planned amount exceeds balance",IF(AND($I150&lt;&gt;"",$I150&lt;Settings!$C$5),"Planned date is in the past",IF(N($J150)&lt;=0,"Not planned yet",IF(ROUND($K150,2)&lt;=0,"Fully planned","Partly planned")))))))</f>
        <v/>
      </c>
    </row>
    <row r="151" customFormat="false" ht="15" hidden="false" customHeight="true" outlineLevel="0" collapsed="false">
      <c r="A151" s="65" t="str">
        <f aca="false">IF('Invoice &amp; Delivery Log'!$A151="","",'Invoice &amp; Delivery Log'!$A151)</f>
        <v/>
      </c>
      <c r="B151" s="59" t="str">
        <f aca="false">IF('Invoice &amp; Delivery Log'!$A151="","",'Invoice &amp; Delivery Log'!$C151)</f>
        <v/>
      </c>
      <c r="C151" s="66" t="str">
        <f aca="false">IF('Invoice &amp; Delivery Log'!$A151="","",'Invoice &amp; Delivery Log'!$H151)</f>
        <v/>
      </c>
      <c r="D151" s="66" t="str">
        <f aca="false">IF('Invoice &amp; Delivery Log'!$A151="","",'Invoice &amp; Delivery Log'!$M151)</f>
        <v/>
      </c>
      <c r="E151" s="71" t="str">
        <f aca="false">IF('Invoice &amp; Delivery Log'!$A151="","",IF('Invoice &amp; Delivery Log'!$Y151="Yes",'Invoice &amp; Delivery Log'!$P151,""))</f>
        <v/>
      </c>
      <c r="F151" s="52" t="str">
        <f aca="false">IF(OR($E151="",$D151=""),"",$D151-Settings!$C$5)</f>
        <v/>
      </c>
      <c r="G151" s="53" t="str">
        <f aca="false">IF($A151="","",IF($E151="","Closed",IF($F151="","No Due Date",IF($F151&lt;0,"Overdue",IF($F151&lt;=Settings!$C$11,"Due in 0-7 Days",IF($F151&lt;=2*Settings!$C$11,"Due in 8-14 Days",IF($F151&lt;=Settings!$C$12,"Due in 15-30 Days","Due in 31+ Days")))))))</f>
        <v/>
      </c>
      <c r="H151" s="49" t="str">
        <f aca="false">IF('Invoice &amp; Delivery Log'!$Z151="","",'Invoice &amp; Delivery Log'!$Z151)</f>
        <v/>
      </c>
      <c r="I151" s="56"/>
      <c r="J151" s="58"/>
      <c r="K151" s="50" t="str">
        <f aca="false">IF($E151="","",ROUND($E151-N($J151),2))</f>
        <v/>
      </c>
      <c r="L151" s="62" t="str">
        <f aca="false">IF($A151="","",IF($E151="","No action needed",IF(AND(N($J151)&gt;0,$I151=""),"Missing planned date",IF(ROUND(N($J151)-$E151,2)&gt;0,"Planned amount exceeds balance",IF(AND($I151&lt;&gt;"",$I151&lt;Settings!$C$5),"Planned date is in the past",IF(N($J151)&lt;=0,"Not planned yet",IF(ROUND($K151,2)&lt;=0,"Fully planned","Partly planned")))))))</f>
        <v/>
      </c>
    </row>
    <row r="152" customFormat="false" ht="15" hidden="false" customHeight="true" outlineLevel="0" collapsed="false">
      <c r="A152" s="63" t="str">
        <f aca="false">IF('Invoice &amp; Delivery Log'!$A152="","",'Invoice &amp; Delivery Log'!$A152)</f>
        <v/>
      </c>
      <c r="B152" s="55" t="str">
        <f aca="false">IF('Invoice &amp; Delivery Log'!$A152="","",'Invoice &amp; Delivery Log'!$C152)</f>
        <v/>
      </c>
      <c r="C152" s="64" t="str">
        <f aca="false">IF('Invoice &amp; Delivery Log'!$A152="","",'Invoice &amp; Delivery Log'!$H152)</f>
        <v/>
      </c>
      <c r="D152" s="64" t="str">
        <f aca="false">IF('Invoice &amp; Delivery Log'!$A152="","",'Invoice &amp; Delivery Log'!$M152)</f>
        <v/>
      </c>
      <c r="E152" s="70" t="str">
        <f aca="false">IF('Invoice &amp; Delivery Log'!$A152="","",IF('Invoice &amp; Delivery Log'!$Y152="Yes",'Invoice &amp; Delivery Log'!$P152,""))</f>
        <v/>
      </c>
      <c r="F152" s="47" t="str">
        <f aca="false">IF(OR($E152="",$D152=""),"",$D152-Settings!$C$5)</f>
        <v/>
      </c>
      <c r="G152" s="36" t="str">
        <f aca="false">IF($A152="","",IF($E152="","Closed",IF($F152="","No Due Date",IF($F152&lt;0,"Overdue",IF($F152&lt;=Settings!$C$11,"Due in 0-7 Days",IF($F152&lt;=2*Settings!$C$11,"Due in 8-14 Days",IF($F152&lt;=Settings!$C$12,"Due in 15-30 Days","Due in 31+ Days")))))))</f>
        <v/>
      </c>
      <c r="H152" s="29" t="str">
        <f aca="false">IF('Invoice &amp; Delivery Log'!$Z152="","",'Invoice &amp; Delivery Log'!$Z152)</f>
        <v/>
      </c>
      <c r="I152" s="56"/>
      <c r="J152" s="58"/>
      <c r="K152" s="30" t="str">
        <f aca="false">IF($E152="","",ROUND($E152-N($J152),2))</f>
        <v/>
      </c>
      <c r="L152" s="28" t="str">
        <f aca="false">IF($A152="","",IF($E152="","No action needed",IF(AND(N($J152)&gt;0,$I152=""),"Missing planned date",IF(ROUND(N($J152)-$E152,2)&gt;0,"Planned amount exceeds balance",IF(AND($I152&lt;&gt;"",$I152&lt;Settings!$C$5),"Planned date is in the past",IF(N($J152)&lt;=0,"Not planned yet",IF(ROUND($K152,2)&lt;=0,"Fully planned","Partly planned")))))))</f>
        <v/>
      </c>
    </row>
    <row r="153" customFormat="false" ht="15" hidden="false" customHeight="true" outlineLevel="0" collapsed="false">
      <c r="A153" s="65" t="str">
        <f aca="false">IF('Invoice &amp; Delivery Log'!$A153="","",'Invoice &amp; Delivery Log'!$A153)</f>
        <v/>
      </c>
      <c r="B153" s="59" t="str">
        <f aca="false">IF('Invoice &amp; Delivery Log'!$A153="","",'Invoice &amp; Delivery Log'!$C153)</f>
        <v/>
      </c>
      <c r="C153" s="66" t="str">
        <f aca="false">IF('Invoice &amp; Delivery Log'!$A153="","",'Invoice &amp; Delivery Log'!$H153)</f>
        <v/>
      </c>
      <c r="D153" s="66" t="str">
        <f aca="false">IF('Invoice &amp; Delivery Log'!$A153="","",'Invoice &amp; Delivery Log'!$M153)</f>
        <v/>
      </c>
      <c r="E153" s="71" t="str">
        <f aca="false">IF('Invoice &amp; Delivery Log'!$A153="","",IF('Invoice &amp; Delivery Log'!$Y153="Yes",'Invoice &amp; Delivery Log'!$P153,""))</f>
        <v/>
      </c>
      <c r="F153" s="52" t="str">
        <f aca="false">IF(OR($E153="",$D153=""),"",$D153-Settings!$C$5)</f>
        <v/>
      </c>
      <c r="G153" s="53" t="str">
        <f aca="false">IF($A153="","",IF($E153="","Closed",IF($F153="","No Due Date",IF($F153&lt;0,"Overdue",IF($F153&lt;=Settings!$C$11,"Due in 0-7 Days",IF($F153&lt;=2*Settings!$C$11,"Due in 8-14 Days",IF($F153&lt;=Settings!$C$12,"Due in 15-30 Days","Due in 31+ Days")))))))</f>
        <v/>
      </c>
      <c r="H153" s="49" t="str">
        <f aca="false">IF('Invoice &amp; Delivery Log'!$Z153="","",'Invoice &amp; Delivery Log'!$Z153)</f>
        <v/>
      </c>
      <c r="I153" s="56"/>
      <c r="J153" s="58"/>
      <c r="K153" s="50" t="str">
        <f aca="false">IF($E153="","",ROUND($E153-N($J153),2))</f>
        <v/>
      </c>
      <c r="L153" s="62" t="str">
        <f aca="false">IF($A153="","",IF($E153="","No action needed",IF(AND(N($J153)&gt;0,$I153=""),"Missing planned date",IF(ROUND(N($J153)-$E153,2)&gt;0,"Planned amount exceeds balance",IF(AND($I153&lt;&gt;"",$I153&lt;Settings!$C$5),"Planned date is in the past",IF(N($J153)&lt;=0,"Not planned yet",IF(ROUND($K153,2)&lt;=0,"Fully planned","Partly planned")))))))</f>
        <v/>
      </c>
    </row>
    <row r="154" customFormat="false" ht="15" hidden="false" customHeight="true" outlineLevel="0" collapsed="false">
      <c r="A154" s="63" t="str">
        <f aca="false">IF('Invoice &amp; Delivery Log'!$A154="","",'Invoice &amp; Delivery Log'!$A154)</f>
        <v/>
      </c>
      <c r="B154" s="55" t="str">
        <f aca="false">IF('Invoice &amp; Delivery Log'!$A154="","",'Invoice &amp; Delivery Log'!$C154)</f>
        <v/>
      </c>
      <c r="C154" s="64" t="str">
        <f aca="false">IF('Invoice &amp; Delivery Log'!$A154="","",'Invoice &amp; Delivery Log'!$H154)</f>
        <v/>
      </c>
      <c r="D154" s="64" t="str">
        <f aca="false">IF('Invoice &amp; Delivery Log'!$A154="","",'Invoice &amp; Delivery Log'!$M154)</f>
        <v/>
      </c>
      <c r="E154" s="70" t="str">
        <f aca="false">IF('Invoice &amp; Delivery Log'!$A154="","",IF('Invoice &amp; Delivery Log'!$Y154="Yes",'Invoice &amp; Delivery Log'!$P154,""))</f>
        <v/>
      </c>
      <c r="F154" s="47" t="str">
        <f aca="false">IF(OR($E154="",$D154=""),"",$D154-Settings!$C$5)</f>
        <v/>
      </c>
      <c r="G154" s="36" t="str">
        <f aca="false">IF($A154="","",IF($E154="","Closed",IF($F154="","No Due Date",IF($F154&lt;0,"Overdue",IF($F154&lt;=Settings!$C$11,"Due in 0-7 Days",IF($F154&lt;=2*Settings!$C$11,"Due in 8-14 Days",IF($F154&lt;=Settings!$C$12,"Due in 15-30 Days","Due in 31+ Days")))))))</f>
        <v/>
      </c>
      <c r="H154" s="29" t="str">
        <f aca="false">IF('Invoice &amp; Delivery Log'!$Z154="","",'Invoice &amp; Delivery Log'!$Z154)</f>
        <v/>
      </c>
      <c r="I154" s="56"/>
      <c r="J154" s="58"/>
      <c r="K154" s="30" t="str">
        <f aca="false">IF($E154="","",ROUND($E154-N($J154),2))</f>
        <v/>
      </c>
      <c r="L154" s="28" t="str">
        <f aca="false">IF($A154="","",IF($E154="","No action needed",IF(AND(N($J154)&gt;0,$I154=""),"Missing planned date",IF(ROUND(N($J154)-$E154,2)&gt;0,"Planned amount exceeds balance",IF(AND($I154&lt;&gt;"",$I154&lt;Settings!$C$5),"Planned date is in the past",IF(N($J154)&lt;=0,"Not planned yet",IF(ROUND($K154,2)&lt;=0,"Fully planned","Partly planned")))))))</f>
        <v/>
      </c>
    </row>
    <row r="155" customFormat="false" ht="15" hidden="false" customHeight="true" outlineLevel="0" collapsed="false">
      <c r="A155" s="65" t="str">
        <f aca="false">IF('Invoice &amp; Delivery Log'!$A155="","",'Invoice &amp; Delivery Log'!$A155)</f>
        <v/>
      </c>
      <c r="B155" s="59" t="str">
        <f aca="false">IF('Invoice &amp; Delivery Log'!$A155="","",'Invoice &amp; Delivery Log'!$C155)</f>
        <v/>
      </c>
      <c r="C155" s="66" t="str">
        <f aca="false">IF('Invoice &amp; Delivery Log'!$A155="","",'Invoice &amp; Delivery Log'!$H155)</f>
        <v/>
      </c>
      <c r="D155" s="66" t="str">
        <f aca="false">IF('Invoice &amp; Delivery Log'!$A155="","",'Invoice &amp; Delivery Log'!$M155)</f>
        <v/>
      </c>
      <c r="E155" s="71" t="str">
        <f aca="false">IF('Invoice &amp; Delivery Log'!$A155="","",IF('Invoice &amp; Delivery Log'!$Y155="Yes",'Invoice &amp; Delivery Log'!$P155,""))</f>
        <v/>
      </c>
      <c r="F155" s="52" t="str">
        <f aca="false">IF(OR($E155="",$D155=""),"",$D155-Settings!$C$5)</f>
        <v/>
      </c>
      <c r="G155" s="53" t="str">
        <f aca="false">IF($A155="","",IF($E155="","Closed",IF($F155="","No Due Date",IF($F155&lt;0,"Overdue",IF($F155&lt;=Settings!$C$11,"Due in 0-7 Days",IF($F155&lt;=2*Settings!$C$11,"Due in 8-14 Days",IF($F155&lt;=Settings!$C$12,"Due in 15-30 Days","Due in 31+ Days")))))))</f>
        <v/>
      </c>
      <c r="H155" s="49" t="str">
        <f aca="false">IF('Invoice &amp; Delivery Log'!$Z155="","",'Invoice &amp; Delivery Log'!$Z155)</f>
        <v/>
      </c>
      <c r="I155" s="56"/>
      <c r="J155" s="58"/>
      <c r="K155" s="50" t="str">
        <f aca="false">IF($E155="","",ROUND($E155-N($J155),2))</f>
        <v/>
      </c>
      <c r="L155" s="62" t="str">
        <f aca="false">IF($A155="","",IF($E155="","No action needed",IF(AND(N($J155)&gt;0,$I155=""),"Missing planned date",IF(ROUND(N($J155)-$E155,2)&gt;0,"Planned amount exceeds balance",IF(AND($I155&lt;&gt;"",$I155&lt;Settings!$C$5),"Planned date is in the past",IF(N($J155)&lt;=0,"Not planned yet",IF(ROUND($K155,2)&lt;=0,"Fully planned","Partly planned")))))))</f>
        <v/>
      </c>
    </row>
    <row r="156" customFormat="false" ht="15" hidden="false" customHeight="true" outlineLevel="0" collapsed="false">
      <c r="A156" s="63" t="str">
        <f aca="false">IF('Invoice &amp; Delivery Log'!$A156="","",'Invoice &amp; Delivery Log'!$A156)</f>
        <v/>
      </c>
      <c r="B156" s="55" t="str">
        <f aca="false">IF('Invoice &amp; Delivery Log'!$A156="","",'Invoice &amp; Delivery Log'!$C156)</f>
        <v/>
      </c>
      <c r="C156" s="64" t="str">
        <f aca="false">IF('Invoice &amp; Delivery Log'!$A156="","",'Invoice &amp; Delivery Log'!$H156)</f>
        <v/>
      </c>
      <c r="D156" s="64" t="str">
        <f aca="false">IF('Invoice &amp; Delivery Log'!$A156="","",'Invoice &amp; Delivery Log'!$M156)</f>
        <v/>
      </c>
      <c r="E156" s="70" t="str">
        <f aca="false">IF('Invoice &amp; Delivery Log'!$A156="","",IF('Invoice &amp; Delivery Log'!$Y156="Yes",'Invoice &amp; Delivery Log'!$P156,""))</f>
        <v/>
      </c>
      <c r="F156" s="47" t="str">
        <f aca="false">IF(OR($E156="",$D156=""),"",$D156-Settings!$C$5)</f>
        <v/>
      </c>
      <c r="G156" s="36" t="str">
        <f aca="false">IF($A156="","",IF($E156="","Closed",IF($F156="","No Due Date",IF($F156&lt;0,"Overdue",IF($F156&lt;=Settings!$C$11,"Due in 0-7 Days",IF($F156&lt;=2*Settings!$C$11,"Due in 8-14 Days",IF($F156&lt;=Settings!$C$12,"Due in 15-30 Days","Due in 31+ Days")))))))</f>
        <v/>
      </c>
      <c r="H156" s="29" t="str">
        <f aca="false">IF('Invoice &amp; Delivery Log'!$Z156="","",'Invoice &amp; Delivery Log'!$Z156)</f>
        <v/>
      </c>
      <c r="I156" s="56"/>
      <c r="J156" s="58"/>
      <c r="K156" s="30" t="str">
        <f aca="false">IF($E156="","",ROUND($E156-N($J156),2))</f>
        <v/>
      </c>
      <c r="L156" s="28" t="str">
        <f aca="false">IF($A156="","",IF($E156="","No action needed",IF(AND(N($J156)&gt;0,$I156=""),"Missing planned date",IF(ROUND(N($J156)-$E156,2)&gt;0,"Planned amount exceeds balance",IF(AND($I156&lt;&gt;"",$I156&lt;Settings!$C$5),"Planned date is in the past",IF(N($J156)&lt;=0,"Not planned yet",IF(ROUND($K156,2)&lt;=0,"Fully planned","Partly planned")))))))</f>
        <v/>
      </c>
    </row>
    <row r="157" customFormat="false" ht="15" hidden="false" customHeight="true" outlineLevel="0" collapsed="false">
      <c r="A157" s="65" t="str">
        <f aca="false">IF('Invoice &amp; Delivery Log'!$A157="","",'Invoice &amp; Delivery Log'!$A157)</f>
        <v/>
      </c>
      <c r="B157" s="59" t="str">
        <f aca="false">IF('Invoice &amp; Delivery Log'!$A157="","",'Invoice &amp; Delivery Log'!$C157)</f>
        <v/>
      </c>
      <c r="C157" s="66" t="str">
        <f aca="false">IF('Invoice &amp; Delivery Log'!$A157="","",'Invoice &amp; Delivery Log'!$H157)</f>
        <v/>
      </c>
      <c r="D157" s="66" t="str">
        <f aca="false">IF('Invoice &amp; Delivery Log'!$A157="","",'Invoice &amp; Delivery Log'!$M157)</f>
        <v/>
      </c>
      <c r="E157" s="71" t="str">
        <f aca="false">IF('Invoice &amp; Delivery Log'!$A157="","",IF('Invoice &amp; Delivery Log'!$Y157="Yes",'Invoice &amp; Delivery Log'!$P157,""))</f>
        <v/>
      </c>
      <c r="F157" s="52" t="str">
        <f aca="false">IF(OR($E157="",$D157=""),"",$D157-Settings!$C$5)</f>
        <v/>
      </c>
      <c r="G157" s="53" t="str">
        <f aca="false">IF($A157="","",IF($E157="","Closed",IF($F157="","No Due Date",IF($F157&lt;0,"Overdue",IF($F157&lt;=Settings!$C$11,"Due in 0-7 Days",IF($F157&lt;=2*Settings!$C$11,"Due in 8-14 Days",IF($F157&lt;=Settings!$C$12,"Due in 15-30 Days","Due in 31+ Days")))))))</f>
        <v/>
      </c>
      <c r="H157" s="49" t="str">
        <f aca="false">IF('Invoice &amp; Delivery Log'!$Z157="","",'Invoice &amp; Delivery Log'!$Z157)</f>
        <v/>
      </c>
      <c r="I157" s="56"/>
      <c r="J157" s="58"/>
      <c r="K157" s="50" t="str">
        <f aca="false">IF($E157="","",ROUND($E157-N($J157),2))</f>
        <v/>
      </c>
      <c r="L157" s="62" t="str">
        <f aca="false">IF($A157="","",IF($E157="","No action needed",IF(AND(N($J157)&gt;0,$I157=""),"Missing planned date",IF(ROUND(N($J157)-$E157,2)&gt;0,"Planned amount exceeds balance",IF(AND($I157&lt;&gt;"",$I157&lt;Settings!$C$5),"Planned date is in the past",IF(N($J157)&lt;=0,"Not planned yet",IF(ROUND($K157,2)&lt;=0,"Fully planned","Partly planned")))))))</f>
        <v/>
      </c>
    </row>
  </sheetData>
  <autoFilter ref="A7:L157"/>
  <mergeCells count="2">
    <mergeCell ref="A1:L1"/>
    <mergeCell ref="A2:L2"/>
  </mergeCells>
  <conditionalFormatting sqref="A8:L157">
    <cfRule type="expression" priority="2" aboveAverage="0" equalAverage="0" bottom="0" percent="0" rank="0" text="" dxfId="28">
      <formula>$G8="Closed"</formula>
    </cfRule>
  </conditionalFormatting>
  <conditionalFormatting sqref="G8:G157">
    <cfRule type="expression" priority="3" aboveAverage="0" equalAverage="0" bottom="0" percent="0" rank="0" text="" dxfId="5">
      <formula>$G8="Overdue"</formula>
    </cfRule>
    <cfRule type="expression" priority="4" aboveAverage="0" equalAverage="0" bottom="0" percent="0" rank="0" text="" dxfId="24">
      <formula>$G8="Due in 0-7 Days"</formula>
    </cfRule>
    <cfRule type="expression" priority="5" aboveAverage="0" equalAverage="0" bottom="0" percent="0" rank="0" text="" dxfId="30">
      <formula>OR($G8="Due in 8-14 Days",$G8="Due in 15-30 Days")</formula>
    </cfRule>
  </conditionalFormatting>
  <conditionalFormatting sqref="E8:F157">
    <cfRule type="expression" priority="6" aboveAverage="0" equalAverage="0" bottom="0" percent="0" rank="0" text="" dxfId="2">
      <formula>AND($E8&lt;&gt;"",N($F8)&lt;0)</formula>
    </cfRule>
  </conditionalFormatting>
  <conditionalFormatting sqref="L8:L157">
    <cfRule type="expression" priority="7" aboveAverage="0" equalAverage="0" bottom="0" percent="0" rank="0" text="" dxfId="29">
      <formula>$L8="Fully planned"</formula>
    </cfRule>
    <cfRule type="expression" priority="8" aboveAverage="0" equalAverage="0" bottom="0" percent="0" rank="0" text="" dxfId="31">
      <formula>OR($L8="Partly planned",$L8="Not planned yet")</formula>
    </cfRule>
    <cfRule type="expression" priority="9" aboveAverage="0" equalAverage="0" bottom="0" percent="0" rank="0" text="" dxfId="5">
      <formula>OR($L8="Missing planned date",$L8="Planned amount exceeds balance",$L8="Planned date is in the past")</formula>
    </cfRule>
  </conditionalFormatting>
  <conditionalFormatting sqref="I4">
    <cfRule type="expression" priority="10" aboveAverage="0" equalAverage="0" bottom="0" percent="0" rank="0" text="" dxfId="32">
      <formula>$I$4&lt;0</formula>
    </cfRule>
  </conditionalFormatting>
  <dataValidations count="2">
    <dataValidation allowBlank="true" error="Enter a real date." errorStyle="stop" errorTitle="Planned Payment Date" operator="between" showDropDown="false" showErrorMessage="false" showInputMessage="false" sqref="I8:I157" type="date">
      <formula1>2020-1-1</formula1>
      <formula2>2035-12-31</formula2>
    </dataValidation>
    <dataValidation allowBlank="true" error="The planned amount must be greater than zero." errorStyle="stop" errorTitle="Planned Amount" operator="greaterThan" showDropDown="false" showErrorMessage="false" showInputMessage="false" sqref="J8:J157" type="decimal">
      <formula1>0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VendorFlow — Supplier Invoice, Payment &amp;&amp; Performance System&amp;R&amp;8 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1F1F"/>
    <pageSetUpPr fitToPage="true"/>
  </sheetPr>
  <dimension ref="A1:G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3" min="3" style="1" width="46"/>
    <col collapsed="false" customWidth="true" hidden="false" outlineLevel="0" max="5" min="4" style="1" width="17"/>
    <col collapsed="false" customWidth="true" hidden="false" outlineLevel="0" max="6" min="6" style="1" width="15"/>
    <col collapsed="false" customWidth="true" hidden="false" outlineLevel="0" max="7" min="7" style="1" width="13"/>
  </cols>
  <sheetData>
    <row r="1" customFormat="false" ht="30" hidden="false" customHeight="true" outlineLevel="0" collapsed="false">
      <c r="A1" s="2" t="s">
        <v>26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614</v>
      </c>
      <c r="B2" s="3"/>
      <c r="C2" s="3"/>
      <c r="D2" s="3"/>
      <c r="E2" s="3"/>
      <c r="F2" s="3"/>
      <c r="G2" s="3"/>
    </row>
    <row r="4" customFormat="false" ht="25.5" hidden="false" customHeight="true" outlineLevel="0" collapsed="false">
      <c r="B4" s="72" t="str">
        <f aca="false">IF(COUNTIF($F$8:$F$17,"FAIL")&gt;0,"CONTROLS FAILED — the workbook does not balance",IF(COUNTIF('Invoice &amp; Delivery Log'!$W$8:$W$157,"REVIEW")+COUNTIF('Payments Log'!$Q$8:$Q$207,"REVIEW")=0,"ALL CONTROLS PASSED — no data exceptions found","ALL CONTROLS PASSED — "&amp;(COUNTIF('Invoice &amp; Delivery Log'!$W$8:$W$157,"REVIEW")+COUNTIF('Payments Log'!$Q$8:$Q$207,"REVIEW"))&amp;" data exceptions to review"))</f>
        <v>ALL CONTROLS PASSED — 8 data exceptions to review</v>
      </c>
      <c r="C4" s="72"/>
      <c r="D4" s="72"/>
      <c r="E4" s="72"/>
      <c r="F4" s="72"/>
    </row>
    <row r="6" customFormat="false" ht="19.5" hidden="false" customHeight="true" outlineLevel="0" collapsed="false">
      <c r="B6" s="19" t="s">
        <v>615</v>
      </c>
      <c r="C6" s="19"/>
      <c r="D6" s="19"/>
      <c r="E6" s="19"/>
      <c r="F6" s="19"/>
    </row>
    <row r="7" customFormat="false" ht="25.5" hidden="false" customHeight="true" outlineLevel="0" collapsed="false">
      <c r="B7" s="27" t="s">
        <v>616</v>
      </c>
      <c r="C7" s="27" t="s">
        <v>617</v>
      </c>
      <c r="D7" s="27" t="s">
        <v>618</v>
      </c>
      <c r="E7" s="27" t="s">
        <v>619</v>
      </c>
      <c r="F7" s="27" t="s">
        <v>620</v>
      </c>
    </row>
    <row r="8" customFormat="false" ht="25.5" hidden="false" customHeight="true" outlineLevel="0" collapsed="false">
      <c r="B8" s="73" t="s">
        <v>621</v>
      </c>
      <c r="C8" s="74" t="s">
        <v>622</v>
      </c>
      <c r="D8" s="30" t="n">
        <f aca="false">SUM('Invoice &amp; Delivery Log'!$N$8:$N$157)</f>
        <v>202408.71</v>
      </c>
      <c r="E8" s="30" t="n">
        <f aca="false">SUM('Vendor Master'!$J$8:$J$47)</f>
        <v>202408.71</v>
      </c>
      <c r="F8" s="75" t="str">
        <f aca="false">IF(ABS(ROUND($D8-$E8,2))&lt;0.01,"PASS","FAIL")</f>
        <v>PASS</v>
      </c>
    </row>
    <row r="9" customFormat="false" ht="25.5" hidden="false" customHeight="true" outlineLevel="0" collapsed="false">
      <c r="B9" s="73" t="s">
        <v>623</v>
      </c>
      <c r="C9" s="74" t="s">
        <v>624</v>
      </c>
      <c r="D9" s="30" t="n">
        <f aca="false">SUM('Invoice &amp; Delivery Log'!$O$8:$O$157)</f>
        <v>149164.99</v>
      </c>
      <c r="E9" s="30" t="n">
        <f aca="false">SUM('Vendor Master'!$K$8:$K$47)</f>
        <v>149164.99</v>
      </c>
      <c r="F9" s="75" t="str">
        <f aca="false">IF(ABS(ROUND($D9-$E9,2))&lt;0.01,"PASS","FAIL")</f>
        <v>PASS</v>
      </c>
    </row>
    <row r="10" customFormat="false" ht="25.5" hidden="false" customHeight="true" outlineLevel="0" collapsed="false">
      <c r="B10" s="73" t="s">
        <v>625</v>
      </c>
      <c r="C10" s="74" t="s">
        <v>626</v>
      </c>
      <c r="D10" s="30" t="n">
        <f aca="false">SUM('Invoice &amp; Delivery Log'!$N$8:$N$157)-SUM('Invoice &amp; Delivery Log'!$O$8:$O$157)</f>
        <v>53243.72</v>
      </c>
      <c r="E10" s="30" t="n">
        <f aca="false">SUM('Invoice &amp; Delivery Log'!$P$8:$P$157)</f>
        <v>53243.72</v>
      </c>
      <c r="F10" s="75" t="str">
        <f aca="false">IF(ABS(ROUND($D10-$E10,2))&lt;0.01,"PASS","FAIL")</f>
        <v>PASS</v>
      </c>
    </row>
    <row r="11" customFormat="false" ht="25.5" hidden="false" customHeight="true" outlineLevel="0" collapsed="false">
      <c r="B11" s="73" t="s">
        <v>627</v>
      </c>
      <c r="C11" s="74" t="s">
        <v>628</v>
      </c>
      <c r="D11" s="30" t="n">
        <f aca="false">SUM('Invoice &amp; Delivery Log'!$P$8:$P$157)</f>
        <v>53243.72</v>
      </c>
      <c r="E11" s="30" t="n">
        <f aca="false">SUM('Vendor Master'!$L$8:$L$47)</f>
        <v>53243.72</v>
      </c>
      <c r="F11" s="75" t="str">
        <f aca="false">IF(ABS(ROUND($D11-$E11,2))&lt;0.01,"PASS","FAIL")</f>
        <v>PASS</v>
      </c>
    </row>
    <row r="12" customFormat="false" ht="25.5" hidden="false" customHeight="true" outlineLevel="0" collapsed="false">
      <c r="B12" s="73" t="s">
        <v>629</v>
      </c>
      <c r="C12" s="74" t="s">
        <v>630</v>
      </c>
      <c r="D12" s="30" t="n">
        <f aca="false">SUM('Invoice &amp; Delivery Log'!$O$8:$O$157)</f>
        <v>149164.99</v>
      </c>
      <c r="E12" s="30" t="n">
        <f aca="false">SUMPRODUCT((COUNTIF('Invoice &amp; Delivery Log'!$A$8:$A$157,'Payments Log'!$B$8:$B$207)&gt;0)*'Payments Log'!$F$8:$F$207)</f>
        <v>149164.99</v>
      </c>
      <c r="F12" s="75" t="str">
        <f aca="false">IF(ABS(ROUND($D12-$E12,2))&lt;0.01,"PASS","FAIL")</f>
        <v>PASS</v>
      </c>
    </row>
    <row r="13" customFormat="false" ht="25.5" hidden="false" customHeight="true" outlineLevel="0" collapsed="false">
      <c r="B13" s="73" t="s">
        <v>631</v>
      </c>
      <c r="C13" s="74" t="s">
        <v>632</v>
      </c>
      <c r="D13" s="30" t="n">
        <f aca="false">SUM('Payments Log'!$F$8:$F$207)</f>
        <v>150644.99</v>
      </c>
      <c r="E13" s="30" t="n">
        <f aca="false">SUMPRODUCT((COUNTIF('Invoice &amp; Delivery Log'!$A$8:$A$157,'Payments Log'!$B$8:$B$207)&gt;0)*'Payments Log'!$F$8:$F$207)+SUMPRODUCT((COUNTIF('Invoice &amp; Delivery Log'!$A$8:$A$157,'Payments Log'!$B$8:$B$207)=0)*('Payments Log'!$B$8:$B$207&lt;&gt;"")*'Payments Log'!$F$8:$F$207)</f>
        <v>150644.99</v>
      </c>
      <c r="F13" s="75" t="str">
        <f aca="false">IF(ABS(ROUND($D13-$E13,2))&lt;0.01,"PASS","FAIL")</f>
        <v>PASS</v>
      </c>
    </row>
    <row r="14" customFormat="false" ht="25.5" hidden="false" customHeight="true" outlineLevel="0" collapsed="false">
      <c r="B14" s="73" t="s">
        <v>633</v>
      </c>
      <c r="C14" s="74" t="s">
        <v>634</v>
      </c>
      <c r="D14" s="30" t="n">
        <f aca="false">SUM('Invoice &amp; Delivery Log'!$P$8:$P$157)</f>
        <v>53243.72</v>
      </c>
      <c r="E14" s="30" t="n">
        <f aca="false">SUMIFS('Invoice &amp; Delivery Log'!$P$8:$P$157,'Invoice &amp; Delivery Log'!$T$8:$T$157,"Not Due Yet")+SUMIFS('Invoice &amp; Delivery Log'!$P$8:$P$157,'Invoice &amp; Delivery Log'!$T$8:$T$157,"1-30 Days Overdue")+SUMIFS('Invoice &amp; Delivery Log'!$P$8:$P$157,'Invoice &amp; Delivery Log'!$T$8:$T$157,"31-60 Days Overdue")+SUMIFS('Invoice &amp; Delivery Log'!$P$8:$P$157,'Invoice &amp; Delivery Log'!$T$8:$T$157,"61-90 Days Overdue")+SUMIFS('Invoice &amp; Delivery Log'!$P$8:$P$157,'Invoice &amp; Delivery Log'!$T$8:$T$157,"90+ Days Overdue")+SUMIFS('Invoice &amp; Delivery Log'!$P$8:$P$157,'Invoice &amp; Delivery Log'!$T$8:$T$157,"No Due Date")+SUMIFS('Invoice &amp; Delivery Log'!$P$8:$P$157,'Invoice &amp; Delivery Log'!$T$8:$T$157,"Supplier Credit")+SUMIFS('Invoice &amp; Delivery Log'!$P$8:$P$157,'Invoice &amp; Delivery Log'!$T$8:$T$157,"Closed")</f>
        <v>53243.72</v>
      </c>
      <c r="F14" s="75" t="str">
        <f aca="false">IF(ABS(ROUND($D14-$E14,2))&lt;0.01,"PASS","FAIL")</f>
        <v>PASS</v>
      </c>
    </row>
    <row r="15" customFormat="false" ht="25.5" hidden="false" customHeight="true" outlineLevel="0" collapsed="false">
      <c r="B15" s="73" t="s">
        <v>635</v>
      </c>
      <c r="C15" s="74" t="s">
        <v>636</v>
      </c>
      <c r="D15" s="30" t="n">
        <f aca="false">SUM('Invoice &amp; Delivery Log'!$S$8:$S$157)</f>
        <v>32710.06</v>
      </c>
      <c r="E15" s="30" t="n">
        <f aca="false">SUMIFS('Invoice &amp; Delivery Log'!$P$8:$P$157,'Invoice &amp; Delivery Log'!$R$8:$R$157,"&gt;0")</f>
        <v>32710.06</v>
      </c>
      <c r="F15" s="75" t="str">
        <f aca="false">IF(ABS(ROUND($D15-$E15,2))&lt;0.01,"PASS","FAIL")</f>
        <v>PASS</v>
      </c>
    </row>
    <row r="16" customFormat="false" ht="25.5" hidden="false" customHeight="true" outlineLevel="0" collapsed="false">
      <c r="B16" s="73" t="s">
        <v>637</v>
      </c>
      <c r="C16" s="74" t="s">
        <v>638</v>
      </c>
      <c r="D16" s="30" t="n">
        <f aca="false">SUM('Invoice &amp; Delivery Log'!$P$8:$P$157)</f>
        <v>53243.72</v>
      </c>
      <c r="E16" s="30" t="n">
        <f aca="false">Dashboard!$C$24</f>
        <v>53243.72</v>
      </c>
      <c r="F16" s="75" t="str">
        <f aca="false">IF(ABS(ROUND($D16-$E16,2))&lt;0.01,"PASS","FAIL")</f>
        <v>PASS</v>
      </c>
    </row>
    <row r="17" customFormat="false" ht="25.5" hidden="false" customHeight="true" outlineLevel="0" collapsed="false">
      <c r="B17" s="73" t="s">
        <v>639</v>
      </c>
      <c r="C17" s="74" t="s">
        <v>640</v>
      </c>
      <c r="D17" s="30" t="n">
        <f aca="false">SUMIFS('Invoice &amp; Delivery Log'!$P$8:$P$157,'Invoice &amp; Delivery Log'!$Y$8:$Y$157,"Yes")</f>
        <v>53756.11</v>
      </c>
      <c r="E17" s="30" t="n">
        <f aca="false">'Payment Planner'!$F$4</f>
        <v>53756.11</v>
      </c>
      <c r="F17" s="75" t="str">
        <f aca="false">IF(ABS(ROUND($D17-$E17,2))&lt;0.01,"PASS","FAIL")</f>
        <v>PASS</v>
      </c>
    </row>
    <row r="19" customFormat="false" ht="15" hidden="false" customHeight="true" outlineLevel="0" collapsed="false">
      <c r="B19" s="40" t="s">
        <v>641</v>
      </c>
    </row>
    <row r="21" customFormat="false" ht="19.5" hidden="false" customHeight="true" outlineLevel="0" collapsed="false">
      <c r="B21" s="19" t="s">
        <v>642</v>
      </c>
      <c r="C21" s="19"/>
      <c r="D21" s="19"/>
      <c r="E21" s="19"/>
      <c r="F21" s="19"/>
    </row>
    <row r="22" customFormat="false" ht="25.5" hidden="false" customHeight="true" outlineLevel="0" collapsed="false">
      <c r="B22" s="27" t="s">
        <v>643</v>
      </c>
      <c r="C22" s="27" t="s">
        <v>644</v>
      </c>
      <c r="D22" s="27" t="s">
        <v>645</v>
      </c>
      <c r="E22" s="27" t="s">
        <v>646</v>
      </c>
      <c r="F22" s="27" t="s">
        <v>647</v>
      </c>
    </row>
    <row r="23" customFormat="false" ht="24" hidden="false" customHeight="true" outlineLevel="0" collapsed="false">
      <c r="B23" s="73" t="s">
        <v>648</v>
      </c>
      <c r="C23" s="74" t="s">
        <v>649</v>
      </c>
      <c r="D23" s="29" t="n">
        <f aca="false">COUNTIF('Invoice &amp; Delivery Log'!$W$8:$W$157,"REVIEW")</f>
        <v>5</v>
      </c>
      <c r="E23" s="30" t="n">
        <f aca="false">SUMIFS('Invoice &amp; Delivery Log'!$N$8:$N$157,'Invoice &amp; Delivery Log'!$W$8:$W$157,"REVIEW")</f>
        <v>15546.17</v>
      </c>
      <c r="F23" s="36" t="str">
        <f aca="false">IF(N($D23)=0,"CLEAR","REVIEW")</f>
        <v>REVIEW</v>
      </c>
    </row>
    <row r="24" customFormat="false" ht="24" hidden="false" customHeight="true" outlineLevel="0" collapsed="false">
      <c r="B24" s="73" t="s">
        <v>650</v>
      </c>
      <c r="C24" s="74" t="s">
        <v>651</v>
      </c>
      <c r="D24" s="29" t="n">
        <f aca="false">COUNTIF('Payments Log'!$Q$8:$Q$207,"REVIEW")</f>
        <v>3</v>
      </c>
      <c r="E24" s="30" t="n">
        <f aca="false">SUMIFS('Payments Log'!$F$8:$F$207,'Payments Log'!$Q$8:$Q$207,"REVIEW")</f>
        <v>4405.2</v>
      </c>
      <c r="F24" s="36" t="str">
        <f aca="false">IF(N($D24)=0,"CLEAR","REVIEW")</f>
        <v>REVIEW</v>
      </c>
    </row>
    <row r="25" customFormat="false" ht="24" hidden="false" customHeight="true" outlineLevel="0" collapsed="false">
      <c r="B25" s="73" t="s">
        <v>652</v>
      </c>
      <c r="C25" s="74" t="s">
        <v>653</v>
      </c>
      <c r="D25" s="29" t="n">
        <f aca="false">SUMPRODUCT((COUNTIF('Invoice &amp; Delivery Log'!$A$8:$A$157,'Payments Log'!$B$8:$B$207)=0)*('Payments Log'!$B$8:$B$207&lt;&gt;""))</f>
        <v>1</v>
      </c>
      <c r="E25" s="30" t="n">
        <f aca="false">SUMPRODUCT((COUNTIF('Invoice &amp; Delivery Log'!$A$8:$A$157,'Payments Log'!$B$8:$B$207)=0)*('Payments Log'!$B$8:$B$207&lt;&gt;"")*'Payments Log'!$F$8:$F$207)</f>
        <v>1480</v>
      </c>
      <c r="F25" s="36" t="str">
        <f aca="false">IF(N($D25)=0,"CLEAR","REVIEW")</f>
        <v>REVIEW</v>
      </c>
    </row>
    <row r="26" customFormat="false" ht="24" hidden="false" customHeight="true" outlineLevel="0" collapsed="false">
      <c r="B26" s="73" t="s">
        <v>654</v>
      </c>
      <c r="C26" s="74" t="s">
        <v>655</v>
      </c>
      <c r="D26" s="29" t="n">
        <f aca="false">COUNTIF('Invoice &amp; Delivery Log'!$X$8:$X$157,"*Duplicate supplier invoice number*")</f>
        <v>2</v>
      </c>
      <c r="E26" s="30" t="n">
        <f aca="false">SUMIFS('Invoice &amp; Delivery Log'!$N$8:$N$157,'Invoice &amp; Delivery Log'!$X$8:$X$157,"*Duplicate supplier invoice number*")</f>
        <v>8161.64</v>
      </c>
      <c r="F26" s="36" t="str">
        <f aca="false">IF(N($D26)=0,"CLEAR","REVIEW")</f>
        <v>REVIEW</v>
      </c>
    </row>
    <row r="27" customFormat="false" ht="24" hidden="false" customHeight="true" outlineLevel="0" collapsed="false">
      <c r="B27" s="73" t="s">
        <v>656</v>
      </c>
      <c r="C27" s="74" t="s">
        <v>657</v>
      </c>
      <c r="D27" s="29" t="n">
        <f aca="false">COUNTIF('Invoice &amp; Delivery Log'!$X$8:$X$157,"*Duplicate invoice ID*")</f>
        <v>0</v>
      </c>
      <c r="E27" s="30" t="n">
        <f aca="false">SUMIFS('Invoice &amp; Delivery Log'!$N$8:$N$157,'Invoice &amp; Delivery Log'!$X$8:$X$157,"*Duplicate invoice ID*")</f>
        <v>0</v>
      </c>
      <c r="F27" s="36" t="str">
        <f aca="false">IF(N($D27)=0,"CLEAR","REVIEW")</f>
        <v>CLEAR</v>
      </c>
    </row>
    <row r="28" customFormat="false" ht="24" hidden="false" customHeight="true" outlineLevel="0" collapsed="false">
      <c r="B28" s="73" t="s">
        <v>658</v>
      </c>
      <c r="C28" s="74" t="s">
        <v>659</v>
      </c>
      <c r="D28" s="29" t="n">
        <f aca="false">COUNTIF('Payments Log'!$R$8:$R$207,"*Duplicate payment ID*")</f>
        <v>0</v>
      </c>
      <c r="E28" s="30" t="n">
        <f aca="false">SUMIFS('Payments Log'!$F$8:$F$207,'Payments Log'!$R$8:$R$207,"*Duplicate payment ID*")</f>
        <v>0</v>
      </c>
      <c r="F28" s="36" t="str">
        <f aca="false">IF(N($D28)=0,"CLEAR","REVIEW")</f>
        <v>CLEAR</v>
      </c>
    </row>
    <row r="29" customFormat="false" ht="24" hidden="false" customHeight="true" outlineLevel="0" collapsed="false">
      <c r="B29" s="73" t="s">
        <v>660</v>
      </c>
      <c r="C29" s="74" t="s">
        <v>661</v>
      </c>
      <c r="D29" s="29" t="n">
        <f aca="false">COUNTIF('Invoice &amp; Delivery Log'!$Q$8:$Q$157,"Overpaid")</f>
        <v>1</v>
      </c>
      <c r="E29" s="30" t="n">
        <f aca="false">-SUMIFS('Invoice &amp; Delivery Log'!$P$8:$P$157,'Invoice &amp; Delivery Log'!$Q$8:$Q$157,"Overpaid")</f>
        <v>512.39</v>
      </c>
      <c r="F29" s="36" t="str">
        <f aca="false">IF(N($D29)=0,"CLEAR","REVIEW")</f>
        <v>REVIEW</v>
      </c>
    </row>
    <row r="30" customFormat="false" ht="24" hidden="false" customHeight="true" outlineLevel="0" collapsed="false">
      <c r="B30" s="73" t="s">
        <v>662</v>
      </c>
      <c r="C30" s="74" t="s">
        <v>663</v>
      </c>
      <c r="D30" s="29" t="n">
        <f aca="false">COUNTIF('Payments Log'!$R$8:$R$207,"*before the invoice date*")</f>
        <v>1</v>
      </c>
      <c r="E30" s="30" t="n">
        <f aca="false">SUMIFS('Payments Log'!$F$8:$F$207,'Payments Log'!$R$8:$R$207,"*before the invoice date*")</f>
        <v>736.34</v>
      </c>
      <c r="F30" s="36" t="str">
        <f aca="false">IF(N($D30)=0,"CLEAR","REVIEW")</f>
        <v>REVIEW</v>
      </c>
    </row>
    <row r="31" customFormat="false" ht="24" hidden="false" customHeight="true" outlineLevel="0" collapsed="false">
      <c r="B31" s="73" t="s">
        <v>664</v>
      </c>
      <c r="C31" s="74" t="s">
        <v>665</v>
      </c>
      <c r="D31" s="29" t="n">
        <f aca="false">COUNTIF('Invoice &amp; Delivery Log'!$X$8:$X$157,"*Missing PO number*")</f>
        <v>1</v>
      </c>
      <c r="E31" s="30" t="n">
        <f aca="false">SUMIFS('Invoice &amp; Delivery Log'!$N$8:$N$157,'Invoice &amp; Delivery Log'!$X$8:$X$157,"*Missing PO number*")</f>
        <v>1852.04</v>
      </c>
      <c r="F31" s="36" t="str">
        <f aca="false">IF(N($D31)=0,"CLEAR","REVIEW")</f>
        <v>REVIEW</v>
      </c>
    </row>
    <row r="32" customFormat="false" ht="24" hidden="false" customHeight="true" outlineLevel="0" collapsed="false">
      <c r="B32" s="73" t="s">
        <v>666</v>
      </c>
      <c r="C32" s="74" t="s">
        <v>667</v>
      </c>
      <c r="D32" s="29" t="n">
        <f aca="false">COUNTIF('Invoice &amp; Delivery Log'!$X$8:$X$157,"*Missing actual delivery date*")</f>
        <v>1</v>
      </c>
      <c r="E32" s="30" t="n">
        <f aca="false">SUMIFS('Invoice &amp; Delivery Log'!$N$8:$N$157,'Invoice &amp; Delivery Log'!$X$8:$X$157,"*Missing actual delivery date*")</f>
        <v>1262.57</v>
      </c>
      <c r="F32" s="36" t="str">
        <f aca="false">IF(N($D32)=0,"CLEAR","REVIEW")</f>
        <v>REVIEW</v>
      </c>
    </row>
    <row r="33" customFormat="false" ht="24" hidden="false" customHeight="true" outlineLevel="0" collapsed="false">
      <c r="B33" s="73" t="s">
        <v>668</v>
      </c>
      <c r="C33" s="74" t="s">
        <v>669</v>
      </c>
      <c r="D33" s="29" t="n">
        <f aca="false">COUNTIF('Invoice &amp; Delivery Log'!$X$8:$X$157,"*rejected delivery*")</f>
        <v>0</v>
      </c>
      <c r="E33" s="30" t="n">
        <f aca="false">SUMIFS('Invoice &amp; Delivery Log'!$N$8:$N$157,'Invoice &amp; Delivery Log'!$X$8:$X$157,"*rejected delivery*")</f>
        <v>0</v>
      </c>
      <c r="F33" s="36" t="str">
        <f aca="false">IF(N($D33)=0,"CLEAR","REVIEW")</f>
        <v>CLEAR</v>
      </c>
    </row>
    <row r="34" customFormat="false" ht="24" hidden="false" customHeight="true" outlineLevel="0" collapsed="false">
      <c r="B34" s="73" t="s">
        <v>670</v>
      </c>
      <c r="C34" s="74" t="s">
        <v>671</v>
      </c>
      <c r="D34" s="29" t="n">
        <f aca="false">COUNTIF('Invoice &amp; Delivery Log'!$X$8:$X$157,"*inactive vendor*")</f>
        <v>0</v>
      </c>
      <c r="E34" s="30" t="n">
        <f aca="false">SUMIFS('Invoice &amp; Delivery Log'!$P$8:$P$157,'Invoice &amp; Delivery Log'!$X$8:$X$157,"*inactive vendor*")</f>
        <v>0</v>
      </c>
      <c r="F34" s="36" t="str">
        <f aca="false">IF(N($D34)=0,"CLEAR","REVIEW")</f>
        <v>CLEAR</v>
      </c>
    </row>
    <row r="35" customFormat="false" ht="24" hidden="false" customHeight="true" outlineLevel="0" collapsed="false">
      <c r="B35" s="73" t="s">
        <v>672</v>
      </c>
      <c r="C35" s="74" t="s">
        <v>673</v>
      </c>
      <c r="D35" s="29" t="n">
        <f aca="false">COUNTIF('Invoice &amp; Delivery Log'!$C$8:$C$157,"NOT FOUND")</f>
        <v>0</v>
      </c>
      <c r="E35" s="30" t="n">
        <f aca="false">SUMIFS('Invoice &amp; Delivery Log'!$N$8:$N$157,'Invoice &amp; Delivery Log'!$C$8:$C$157,"NOT FOUND")</f>
        <v>0</v>
      </c>
      <c r="F35" s="36" t="str">
        <f aca="false">IF(N($D35)=0,"CLEAR","REVIEW")</f>
        <v>CLEAR</v>
      </c>
    </row>
    <row r="37" customFormat="false" ht="15" hidden="false" customHeight="true" outlineLevel="0" collapsed="false">
      <c r="B37" s="76" t="s">
        <v>674</v>
      </c>
    </row>
    <row r="38" customFormat="false" ht="15" hidden="false" customHeight="true" outlineLevel="0" collapsed="false">
      <c r="B38" s="5" t="s">
        <v>675</v>
      </c>
    </row>
    <row r="39" customFormat="false" ht="15" hidden="false" customHeight="true" outlineLevel="0" collapsed="false">
      <c r="B39" s="5" t="s">
        <v>676</v>
      </c>
    </row>
    <row r="40" customFormat="false" ht="15" hidden="false" customHeight="true" outlineLevel="0" collapsed="false">
      <c r="B40" s="5" t="s">
        <v>677</v>
      </c>
    </row>
    <row r="41" customFormat="false" ht="15" hidden="false" customHeight="true" outlineLevel="0" collapsed="false">
      <c r="B41" s="5" t="s">
        <v>678</v>
      </c>
    </row>
    <row r="43" customFormat="false" ht="19.5" hidden="false" customHeight="true" outlineLevel="0" collapsed="false">
      <c r="B43" s="19" t="s">
        <v>679</v>
      </c>
      <c r="C43" s="19"/>
      <c r="D43" s="19"/>
      <c r="E43" s="19"/>
      <c r="F43" s="19"/>
    </row>
    <row r="44" customFormat="false" ht="15" hidden="false" customHeight="true" outlineLevel="0" collapsed="false">
      <c r="B44" s="73" t="s">
        <v>680</v>
      </c>
      <c r="C44" s="77" t="n">
        <f aca="false">COUNTA('Invoice &amp; Delivery Log'!$A$8:$A$157)</f>
        <v>60</v>
      </c>
    </row>
    <row r="45" customFormat="false" ht="15" hidden="false" customHeight="true" outlineLevel="0" collapsed="false">
      <c r="B45" s="73" t="s">
        <v>681</v>
      </c>
      <c r="C45" s="77" t="n">
        <f aca="false">COUNTIF('Invoice &amp; Delivery Log'!$W$8:$W$157,"OK")</f>
        <v>55</v>
      </c>
    </row>
    <row r="46" customFormat="false" ht="15" hidden="false" customHeight="true" outlineLevel="0" collapsed="false">
      <c r="B46" s="73" t="s">
        <v>682</v>
      </c>
      <c r="C46" s="78" t="n">
        <f aca="false">IFERROR(COUNTIF('Invoice &amp; Delivery Log'!$W$8:$W$157,"OK")/COUNTA('Invoice &amp; Delivery Log'!$A$8:$A$157),"")</f>
        <v>0.916666666666667</v>
      </c>
    </row>
    <row r="47" customFormat="false" ht="15" hidden="false" customHeight="true" outlineLevel="0" collapsed="false">
      <c r="B47" s="73" t="s">
        <v>683</v>
      </c>
      <c r="C47" s="77" t="n">
        <f aca="false">COUNTA('Payments Log'!$A$8:$A$207)</f>
        <v>63</v>
      </c>
    </row>
    <row r="48" customFormat="false" ht="15" hidden="false" customHeight="true" outlineLevel="0" collapsed="false">
      <c r="B48" s="73" t="s">
        <v>684</v>
      </c>
      <c r="C48" s="77" t="n">
        <f aca="false">COUNTIF('Payments Log'!$Q$8:$Q$207,"OK")</f>
        <v>60</v>
      </c>
    </row>
    <row r="49" customFormat="false" ht="15" hidden="false" customHeight="true" outlineLevel="0" collapsed="false">
      <c r="B49" s="73" t="s">
        <v>685</v>
      </c>
      <c r="C49" s="78" t="n">
        <f aca="false">IFERROR(COUNTIF('Payments Log'!$Q$8:$Q$207,"OK")/COUNTA('Payments Log'!$A$8:$A$207),"")</f>
        <v>0.952380952380952</v>
      </c>
    </row>
    <row r="50" customFormat="false" ht="15" hidden="false" customHeight="true" outlineLevel="0" collapsed="false">
      <c r="B50" s="73" t="s">
        <v>686</v>
      </c>
      <c r="C50" s="79" t="str">
        <f aca="false">COUNTIF($F$8:$F$17,"PASS")&amp;" of "&amp;ROWS($F$8:$F$17)</f>
        <v>10 of 10</v>
      </c>
    </row>
    <row r="51" customFormat="false" ht="15" hidden="false" customHeight="true" outlineLevel="0" collapsed="false">
      <c r="B51" s="73" t="s">
        <v>687</v>
      </c>
      <c r="C51" s="79" t="str">
        <f aca="false">TEXT(Settings!$C$5,"yyyy-mm-dd")</f>
        <v>2026-09-07</v>
      </c>
    </row>
  </sheetData>
  <mergeCells count="6">
    <mergeCell ref="A1:G1"/>
    <mergeCell ref="A2:G2"/>
    <mergeCell ref="B4:F4"/>
    <mergeCell ref="B6:F6"/>
    <mergeCell ref="B21:F21"/>
    <mergeCell ref="B43:F43"/>
  </mergeCells>
  <conditionalFormatting sqref="B4:F4">
    <cfRule type="expression" priority="2" aboveAverage="0" equalAverage="0" bottom="0" percent="0" rank="0" text="" dxfId="32">
      <formula>COUNTIF($F$8:$F$17,"FAIL")&gt;0</formula>
    </cfRule>
    <cfRule type="expression" priority="3" aboveAverage="0" equalAverage="0" bottom="0" percent="0" rank="0" text="" dxfId="33">
      <formula>AND(COUNTIF($F$8:$F$17,"FAIL")=0,(COUNTIF('Invoice &amp; Delivery Log'!$W$8:$W$157,"REVIEW")+COUNTIF('Payments Log'!$Q$8:$Q$207,"REVIEW"))&gt;0)</formula>
    </cfRule>
  </conditionalFormatting>
  <conditionalFormatting sqref="B8:F17">
    <cfRule type="expression" priority="4" aboveAverage="0" equalAverage="0" bottom="0" percent="0" rank="0" text="" dxfId="5">
      <formula>$F8="FAIL"</formula>
    </cfRule>
  </conditionalFormatting>
  <conditionalFormatting sqref="F8:F17">
    <cfRule type="expression" priority="5" aboveAverage="0" equalAverage="0" bottom="0" percent="0" rank="0" text="" dxfId="22">
      <formula>$F8="PASS"</formula>
    </cfRule>
  </conditionalFormatting>
  <conditionalFormatting sqref="B23:F35">
    <cfRule type="expression" priority="6" aboveAverage="0" equalAverage="0" bottom="0" percent="0" rank="0" text="" dxfId="24">
      <formula>$F23="REVIEW"</formula>
    </cfRule>
  </conditionalFormatting>
  <conditionalFormatting sqref="F23:F35">
    <cfRule type="expression" priority="7" aboveAverage="0" equalAverage="0" bottom="0" percent="0" rank="0" text="" dxfId="29">
      <formula>$F23="CLEAR"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VendorFlow — Supplier Invoice, Payment &amp;&amp; Performance System&amp;R&amp;8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20"/>
    <col collapsed="false" customWidth="true" hidden="false" outlineLevel="0" max="5" min="4" style="1" width="24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26"/>
  </cols>
  <sheetData>
    <row r="1" customFormat="false" ht="30" hidden="false" customHeight="true" outlineLevel="0" collapsed="false">
      <c r="A1" s="2" t="s">
        <v>29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688</v>
      </c>
      <c r="B2" s="3"/>
      <c r="C2" s="3"/>
      <c r="D2" s="3"/>
      <c r="E2" s="3"/>
      <c r="F2" s="3"/>
      <c r="G2" s="3"/>
      <c r="H2" s="3"/>
    </row>
    <row r="3" customFormat="false" ht="19.5" hidden="false" customHeight="true" outlineLevel="0" collapsed="false">
      <c r="B3" s="19" t="s">
        <v>689</v>
      </c>
      <c r="C3" s="19"/>
      <c r="D3" s="19"/>
    </row>
    <row r="5" customFormat="false" ht="15" hidden="false" customHeight="true" outlineLevel="0" collapsed="false">
      <c r="B5" s="80" t="s">
        <v>690</v>
      </c>
      <c r="C5" s="81" t="n">
        <v>46272</v>
      </c>
      <c r="E5" s="82" t="s">
        <v>691</v>
      </c>
      <c r="F5" s="82"/>
      <c r="G5" s="82"/>
      <c r="H5" s="82"/>
    </row>
    <row r="6" customFormat="false" ht="15" hidden="false" customHeight="true" outlineLevel="0" collapsed="false">
      <c r="B6" s="80" t="s">
        <v>692</v>
      </c>
      <c r="C6" s="83" t="s">
        <v>693</v>
      </c>
      <c r="E6" s="82" t="s">
        <v>694</v>
      </c>
      <c r="F6" s="82"/>
      <c r="G6" s="82"/>
      <c r="H6" s="82"/>
    </row>
    <row r="7" customFormat="false" ht="15" hidden="false" customHeight="true" outlineLevel="0" collapsed="false">
      <c r="B7" s="80" t="s">
        <v>695</v>
      </c>
      <c r="C7" s="84" t="n">
        <v>0</v>
      </c>
      <c r="E7" s="82" t="s">
        <v>696</v>
      </c>
      <c r="F7" s="82"/>
      <c r="G7" s="82"/>
      <c r="H7" s="82"/>
    </row>
    <row r="8" customFormat="false" ht="15" hidden="false" customHeight="true" outlineLevel="0" collapsed="false">
      <c r="B8" s="80" t="s">
        <v>697</v>
      </c>
      <c r="C8" s="84" t="n">
        <v>30</v>
      </c>
      <c r="E8" s="82" t="s">
        <v>698</v>
      </c>
      <c r="F8" s="82"/>
      <c r="G8" s="82"/>
      <c r="H8" s="82"/>
    </row>
    <row r="9" customFormat="false" ht="15" hidden="false" customHeight="true" outlineLevel="0" collapsed="false">
      <c r="B9" s="80" t="s">
        <v>699</v>
      </c>
      <c r="C9" s="84" t="n">
        <v>60</v>
      </c>
      <c r="E9" s="82" t="s">
        <v>700</v>
      </c>
      <c r="F9" s="82"/>
      <c r="G9" s="82"/>
      <c r="H9" s="82"/>
    </row>
    <row r="10" customFormat="false" ht="15" hidden="false" customHeight="true" outlineLevel="0" collapsed="false">
      <c r="B10" s="80" t="s">
        <v>701</v>
      </c>
      <c r="C10" s="84" t="n">
        <v>90</v>
      </c>
      <c r="E10" s="82" t="s">
        <v>702</v>
      </c>
      <c r="F10" s="82"/>
      <c r="G10" s="82"/>
      <c r="H10" s="82"/>
    </row>
    <row r="11" customFormat="false" ht="15" hidden="false" customHeight="true" outlineLevel="0" collapsed="false">
      <c r="B11" s="80" t="s">
        <v>703</v>
      </c>
      <c r="C11" s="84" t="n">
        <v>7</v>
      </c>
      <c r="E11" s="82" t="s">
        <v>704</v>
      </c>
      <c r="F11" s="82"/>
      <c r="G11" s="82"/>
      <c r="H11" s="82"/>
    </row>
    <row r="12" customFormat="false" ht="15" hidden="false" customHeight="true" outlineLevel="0" collapsed="false">
      <c r="B12" s="80" t="s">
        <v>705</v>
      </c>
      <c r="C12" s="84" t="n">
        <v>30</v>
      </c>
      <c r="E12" s="82" t="s">
        <v>706</v>
      </c>
      <c r="F12" s="82"/>
      <c r="G12" s="82"/>
      <c r="H12" s="82"/>
    </row>
    <row r="14" customFormat="false" ht="15" hidden="false" customHeight="true" outlineLevel="0" collapsed="false">
      <c r="B14" s="80" t="s">
        <v>707</v>
      </c>
      <c r="C14" s="85" t="n">
        <v>0.6</v>
      </c>
      <c r="E14" s="82" t="s">
        <v>708</v>
      </c>
      <c r="F14" s="82"/>
      <c r="G14" s="82"/>
      <c r="H14" s="82"/>
    </row>
    <row r="15" customFormat="false" ht="15" hidden="false" customHeight="true" outlineLevel="0" collapsed="false">
      <c r="B15" s="80" t="s">
        <v>709</v>
      </c>
      <c r="C15" s="85" t="n">
        <v>0.4</v>
      </c>
      <c r="E15" s="82" t="s">
        <v>710</v>
      </c>
      <c r="F15" s="82"/>
      <c r="G15" s="82"/>
      <c r="H15" s="82"/>
    </row>
    <row r="17" customFormat="false" ht="15" hidden="false" customHeight="true" outlineLevel="0" collapsed="false">
      <c r="B17" s="80" t="s">
        <v>711</v>
      </c>
      <c r="C17" s="85" t="n">
        <v>0.9</v>
      </c>
      <c r="E17" s="82" t="s">
        <v>712</v>
      </c>
      <c r="F17" s="82"/>
      <c r="G17" s="82"/>
      <c r="H17" s="82"/>
    </row>
    <row r="18" customFormat="false" ht="15" hidden="false" customHeight="true" outlineLevel="0" collapsed="false">
      <c r="B18" s="80" t="s">
        <v>713</v>
      </c>
      <c r="C18" s="85" t="n">
        <v>0.8</v>
      </c>
      <c r="E18" s="82" t="s">
        <v>714</v>
      </c>
      <c r="F18" s="82"/>
      <c r="G18" s="82"/>
      <c r="H18" s="82"/>
    </row>
    <row r="19" customFormat="false" ht="15" hidden="false" customHeight="true" outlineLevel="0" collapsed="false">
      <c r="B19" s="80" t="s">
        <v>715</v>
      </c>
      <c r="C19" s="85" t="n">
        <v>0.65</v>
      </c>
      <c r="E19" s="82" t="s">
        <v>716</v>
      </c>
      <c r="F19" s="82"/>
      <c r="G19" s="82"/>
      <c r="H19" s="82"/>
    </row>
    <row r="21" customFormat="false" ht="15" hidden="false" customHeight="true" outlineLevel="0" collapsed="false">
      <c r="B21" s="40" t="s">
        <v>717</v>
      </c>
    </row>
    <row r="22" customFormat="false" ht="15" hidden="false" customHeight="true" outlineLevel="0" collapsed="false">
      <c r="B22" s="40" t="s">
        <v>718</v>
      </c>
    </row>
    <row r="25" customFormat="false" ht="19.5" hidden="false" customHeight="true" outlineLevel="0" collapsed="false">
      <c r="B25" s="19" t="s">
        <v>719</v>
      </c>
      <c r="C25" s="19"/>
      <c r="D25" s="19"/>
      <c r="E25" s="19"/>
      <c r="F25" s="19"/>
    </row>
    <row r="26" customFormat="false" ht="15" hidden="false" customHeight="true" outlineLevel="0" collapsed="false">
      <c r="B26" s="27" t="s">
        <v>130</v>
      </c>
      <c r="C26" s="27" t="s">
        <v>223</v>
      </c>
      <c r="D26" s="27" t="s">
        <v>448</v>
      </c>
      <c r="E26" s="27" t="s">
        <v>720</v>
      </c>
    </row>
    <row r="27" customFormat="false" ht="15" hidden="false" customHeight="true" outlineLevel="0" collapsed="false">
      <c r="B27" s="86" t="s">
        <v>147</v>
      </c>
      <c r="C27" s="86" t="s">
        <v>237</v>
      </c>
      <c r="D27" s="86" t="s">
        <v>476</v>
      </c>
      <c r="E27" s="86" t="s">
        <v>180</v>
      </c>
    </row>
    <row r="28" customFormat="false" ht="15" hidden="false" customHeight="true" outlineLevel="0" collapsed="false">
      <c r="B28" s="86" t="s">
        <v>213</v>
      </c>
      <c r="C28" s="86" t="s">
        <v>245</v>
      </c>
      <c r="D28" s="86" t="s">
        <v>473</v>
      </c>
      <c r="E28" s="86" t="s">
        <v>168</v>
      </c>
    </row>
    <row r="29" customFormat="false" ht="15" hidden="false" customHeight="true" outlineLevel="0" collapsed="false">
      <c r="B29" s="86"/>
      <c r="C29" s="86" t="s">
        <v>274</v>
      </c>
      <c r="D29" s="86" t="s">
        <v>483</v>
      </c>
      <c r="E29" s="86" t="s">
        <v>150</v>
      </c>
    </row>
    <row r="30" customFormat="false" ht="15" hidden="false" customHeight="true" outlineLevel="0" collapsed="false">
      <c r="B30" s="86"/>
      <c r="C30" s="86"/>
      <c r="D30" s="86" t="s">
        <v>458</v>
      </c>
      <c r="E30" s="86" t="s">
        <v>192</v>
      </c>
    </row>
    <row r="31" customFormat="false" ht="15" hidden="false" customHeight="true" outlineLevel="0" collapsed="false">
      <c r="B31" s="86"/>
      <c r="C31" s="86"/>
      <c r="D31" s="86" t="s">
        <v>462</v>
      </c>
      <c r="E31" s="86" t="s">
        <v>174</v>
      </c>
    </row>
    <row r="32" customFormat="false" ht="15" hidden="false" customHeight="true" outlineLevel="0" collapsed="false">
      <c r="B32" s="86"/>
      <c r="C32" s="86"/>
      <c r="D32" s="86"/>
      <c r="E32" s="86" t="s">
        <v>156</v>
      </c>
    </row>
    <row r="33" customFormat="false" ht="15" hidden="false" customHeight="true" outlineLevel="0" collapsed="false">
      <c r="B33" s="86"/>
      <c r="C33" s="86"/>
      <c r="D33" s="86"/>
      <c r="E33" s="86" t="s">
        <v>186</v>
      </c>
    </row>
    <row r="34" customFormat="false" ht="15" hidden="false" customHeight="true" outlineLevel="0" collapsed="false">
      <c r="B34" s="86"/>
      <c r="C34" s="86"/>
      <c r="D34" s="86"/>
      <c r="E34" s="86" t="s">
        <v>143</v>
      </c>
    </row>
    <row r="35" customFormat="false" ht="15" hidden="false" customHeight="true" outlineLevel="0" collapsed="false">
      <c r="B35" s="86"/>
      <c r="C35" s="86"/>
      <c r="D35" s="86"/>
      <c r="E35" s="86" t="s">
        <v>162</v>
      </c>
    </row>
    <row r="36" customFormat="false" ht="15" hidden="false" customHeight="true" outlineLevel="0" collapsed="false">
      <c r="B36" s="86"/>
      <c r="C36" s="86"/>
      <c r="D36" s="86"/>
      <c r="E36" s="86" t="s">
        <v>204</v>
      </c>
    </row>
    <row r="37" customFormat="false" ht="15" hidden="false" customHeight="true" outlineLevel="0" collapsed="false">
      <c r="B37" s="86"/>
      <c r="C37" s="86"/>
      <c r="D37" s="86"/>
      <c r="E37" s="86" t="s">
        <v>198</v>
      </c>
    </row>
    <row r="38" customFormat="false" ht="15" hidden="false" customHeight="true" outlineLevel="0" collapsed="false">
      <c r="B38" s="86"/>
      <c r="C38" s="86"/>
      <c r="D38" s="86"/>
      <c r="E38" s="86"/>
    </row>
    <row r="39" customFormat="false" ht="15" hidden="false" customHeight="true" outlineLevel="0" collapsed="false">
      <c r="B39" s="86"/>
      <c r="C39" s="86"/>
      <c r="D39" s="86"/>
      <c r="E39" s="86"/>
    </row>
    <row r="40" customFormat="false" ht="15" hidden="false" customHeight="true" outlineLevel="0" collapsed="false">
      <c r="B40" s="86"/>
      <c r="C40" s="86"/>
      <c r="D40" s="86"/>
      <c r="E40" s="86"/>
    </row>
    <row r="42" customFormat="false" ht="15" hidden="false" customHeight="true" outlineLevel="0" collapsed="false">
      <c r="B42" s="40" t="s">
        <v>721</v>
      </c>
    </row>
  </sheetData>
  <mergeCells count="17">
    <mergeCell ref="A1:H1"/>
    <mergeCell ref="A2:H2"/>
    <mergeCell ref="B3:D3"/>
    <mergeCell ref="E5:H5"/>
    <mergeCell ref="E6:H6"/>
    <mergeCell ref="E7:H7"/>
    <mergeCell ref="E8:H8"/>
    <mergeCell ref="E9:H9"/>
    <mergeCell ref="E10:H10"/>
    <mergeCell ref="E11:H11"/>
    <mergeCell ref="E12:H12"/>
    <mergeCell ref="E14:H14"/>
    <mergeCell ref="E15:H15"/>
    <mergeCell ref="E17:H17"/>
    <mergeCell ref="E18:H18"/>
    <mergeCell ref="E19:H19"/>
    <mergeCell ref="B25:F25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VendorFlow — Supplier Invoice, Payment &amp;&amp; Performance System&amp;R&amp;8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2026-09-07T21:08:12Z</dcterms:created>
  <dc:creator>openpyxl</dc:creator>
  <dc:description/>
  <dc:language>en-US</dc:language>
  <cp:lastModifiedBy/>
  <dcterms:modified xsi:type="dcterms:W3CDTF">2026-10-07T04:39:51Z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